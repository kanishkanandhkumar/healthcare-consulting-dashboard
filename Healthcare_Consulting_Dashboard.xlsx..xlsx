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7387eaf417ae7462/Desktop/NEW/"/>
    </mc:Choice>
  </mc:AlternateContent>
  <xr:revisionPtr revIDLastSave="0" documentId="8_{F169C619-2FD3-4BB5-81A3-99F83A09F7CD}" xr6:coauthVersionLast="47" xr6:coauthVersionMax="47" xr10:uidLastSave="{00000000-0000-0000-0000-000000000000}"/>
  <bookViews>
    <workbookView xWindow="-110" yWindow="-110" windowWidth="19420" windowHeight="11020" firstSheet="1" activeTab="3" xr2:uid="{22F7B292-427B-4251-B4FB-499EEC19C94F}"/>
  </bookViews>
  <sheets>
    <sheet name="sample_life_science_data" sheetId="1" r:id="rId1"/>
    <sheet name="Analysis " sheetId="2" r:id="rId2"/>
    <sheet name="PivotSummary" sheetId="4" r:id="rId3"/>
    <sheet name="Dashboard" sheetId="5" r:id="rId4"/>
  </sheets>
  <definedNames>
    <definedName name="_xlcn.WorksheetConnection_sample_data.xlsxData" hidden="1">Data[]</definedName>
    <definedName name="Slicer_Date__Month">#N/A</definedName>
  </definedNames>
  <calcPr calcId="0"/>
  <pivotCaches>
    <pivotCache cacheId="23" r:id="rId5"/>
    <pivotCache cacheId="83" r:id="rId6"/>
    <pivotCache cacheId="129" r:id="rId7"/>
  </pivotCaches>
  <extLst>
    <ext xmlns:x14="http://schemas.microsoft.com/office/spreadsheetml/2009/9/main" uri="{876F7934-8845-4945-9796-88D515C7AA90}">
      <x14:pivotCaches>
        <pivotCache cacheId="84"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 name="Data" connection="WorksheetConnection_sample_data^.xlsx!Data"/>
        </x15:modelTables>
        <x15:extLst>
          <ext xmlns:x16="http://schemas.microsoft.com/office/spreadsheetml/2014/11/main" uri="{9835A34E-60A6-4A7C-AAB8-D5F71C897F49}">
            <x16:modelTimeGroupings>
              <x16:modelTimeGrouping tableName="Dat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B16" i="5" l="1"/>
  <c r="B14" i="5"/>
  <c r="B12" i="5"/>
  <c r="B10" i="5"/>
  <c r="B8" i="5"/>
  <c r="B4" i="5"/>
  <c r="B6" i="5"/>
  <c r="B9" i="2"/>
  <c r="B8" i="2"/>
  <c r="B7" i="2"/>
  <c r="B6" i="2"/>
  <c r="B5" i="2"/>
  <c r="B4" i="2"/>
  <c r="B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379BD9-7FD3-4CBE-89C3-F9BA0D9FA7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EB6F342-D43D-4CCF-89CE-B45813F54F9E}" name="WorksheetConnection_sample_data^.xlsx!Data" type="102" refreshedVersion="8" minRefreshableVersion="5">
    <extLst>
      <ext xmlns:x15="http://schemas.microsoft.com/office/spreadsheetml/2010/11/main" uri="{DE250136-89BD-433C-8126-D09CA5730AF9}">
        <x15:connection id="Data" autoDelete="1">
          <x15:rangePr sourceName="_xlcn.WorksheetConnection_sample_data.xlsxData"/>
        </x15:connection>
      </ext>
    </extLst>
  </connection>
</connections>
</file>

<file path=xl/sharedStrings.xml><?xml version="1.0" encoding="utf-8"?>
<sst xmlns="http://schemas.openxmlformats.org/spreadsheetml/2006/main" count="349" uniqueCount="136">
  <si>
    <t>PatientID</t>
  </si>
  <si>
    <t>Date</t>
  </si>
  <si>
    <t>Outcome</t>
  </si>
  <si>
    <t>Contamination Incident</t>
  </si>
  <si>
    <t>Turnaround Hours</t>
  </si>
  <si>
    <t>Treatment Cost</t>
  </si>
  <si>
    <t>P1000</t>
  </si>
  <si>
    <t>Recovered</t>
  </si>
  <si>
    <t>Yes</t>
  </si>
  <si>
    <t>P1001</t>
  </si>
  <si>
    <t>Referred</t>
  </si>
  <si>
    <t>No</t>
  </si>
  <si>
    <t>P1002</t>
  </si>
  <si>
    <t>P1003</t>
  </si>
  <si>
    <t>P1004</t>
  </si>
  <si>
    <t>P1005</t>
  </si>
  <si>
    <t>P1006</t>
  </si>
  <si>
    <t>P1007</t>
  </si>
  <si>
    <t>P1008</t>
  </si>
  <si>
    <t>P1009</t>
  </si>
  <si>
    <t>P1010</t>
  </si>
  <si>
    <t>P1011</t>
  </si>
  <si>
    <t>P1012</t>
  </si>
  <si>
    <t>P1013</t>
  </si>
  <si>
    <t>P1014</t>
  </si>
  <si>
    <t>Under Treatment</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</si>
  <si>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</si>
  <si>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</si>
  <si>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</si>
  <si>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</si>
  <si>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</si>
  <si>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</si>
  <si>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</si>
  <si>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</si>
  <si>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</si>
  <si>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</si>
  <si>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</si>
  <si>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</si>
  <si>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</si>
  <si>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</si>
  <si>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</si>
  <si>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</si>
  <si>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</si>
  <si>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</si>
  <si>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</si>
  <si>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</si>
  <si>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</si>
  <si>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</si>
  <si>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</si>
  <si>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</si>
  <si>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</si>
  <si>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</si>
  <si>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</si>
  <si>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</si>
  <si>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</si>
  <si>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</si>
  <si>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</si>
  <si>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</si>
  <si>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</si>
  <si>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</si>
  <si>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</si>
  <si>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</si>
  <si>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</si>
  <si>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</si>
  <si>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</si>
  <si>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</si>
  <si>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</si>
  <si>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</si>
  <si>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</si>
  <si>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</si>
  <si>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</si>
  <si>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</si>
  <si>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</si>
  <si>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</si>
  <si>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</si>
  <si>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</si>
  <si>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</si>
  <si>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</si>
  <si>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</si>
  <si>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</si>
  <si>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</si>
  <si>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</si>
  <si>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</si>
  <si>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</si>
  <si>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</si>
  <si>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</si>
  <si>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</si>
  <si>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</si>
  <si>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</si>
  <si>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</si>
  <si>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</si>
  <si>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</si>
  <si>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</si>
  <si>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</si>
  <si>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</si>
  <si>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</si>
  <si>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</si>
  <si>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</si>
  <si>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</si>
  <si>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</si>
  <si>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</si>
  <si>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</si>
  <si>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</si>
  <si>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</si>
  <si>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</si>
  <si>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</si>
  <si>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</si>
  <si>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</si>
  <si>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</si>
  <si>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</si>
  <si>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</si>
  <si>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Metric</t>
  </si>
  <si>
    <t>Total Admissions</t>
  </si>
  <si>
    <t>Contamination Rate</t>
  </si>
  <si>
    <t>Average Turnaround Hours</t>
  </si>
  <si>
    <t>Average Treatment Cost</t>
  </si>
  <si>
    <t>Recovered Count</t>
  </si>
  <si>
    <t>Referred Count</t>
  </si>
  <si>
    <t>Under Treatment Count</t>
  </si>
  <si>
    <t>Row Labels</t>
  </si>
  <si>
    <t>Grand Total</t>
  </si>
  <si>
    <t>Jan</t>
  </si>
  <si>
    <t>Feb</t>
  </si>
  <si>
    <t>Mar</t>
  </si>
  <si>
    <t>Apr</t>
  </si>
  <si>
    <t>May</t>
  </si>
  <si>
    <t>Jun</t>
  </si>
  <si>
    <t>Jul</t>
  </si>
  <si>
    <t>Aug</t>
  </si>
  <si>
    <t>Sep</t>
  </si>
  <si>
    <t>Oct</t>
  </si>
  <si>
    <t>Count of PatientID</t>
  </si>
  <si>
    <t xml:space="preserve"> Admissions by Month</t>
  </si>
  <si>
    <t>Metrics</t>
  </si>
  <si>
    <t>Values</t>
  </si>
  <si>
    <r>
      <rPr>
        <sz val="25"/>
        <color theme="1"/>
        <rFont val="Calibri"/>
        <family val="2"/>
        <scheme val="minor"/>
      </rPr>
      <t xml:space="preserve"> </t>
    </r>
    <r>
      <rPr>
        <b/>
        <sz val="25"/>
        <color theme="1"/>
        <rFont val="Calibri"/>
        <family val="2"/>
        <scheme val="minor"/>
      </rPr>
      <t>Key Metrics Summary</t>
    </r>
    <r>
      <rPr>
        <b/>
        <sz val="14"/>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</si>
</sst>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family val="2"/>
    </font>
    <font>
      <sz val="11"/>
      <color theme="1"/>
      <name val="Arial"/>
      <family val="2"/>
    </font>
    <font>
      <sz val="14"/>
      <color theme="1"/>
      <name val="Calibri"/>
      <family val="2"/>
      <scheme val="minor"/>
    </font>
    <font>
      <b/>
      <sz val="14"/>
      <color theme="1"/>
      <name val="Calibri"/>
      <family val="2"/>
      <scheme val="minor"/>
    </font>
    <font>
      <b/>
      <sz val="10"/>
      <color theme="1"/>
      <name val="Segoe UI"/>
      <family val="2"/>
    </font>
    <font>
      <sz val="25"/>
      <color theme="1"/>
      <name val="Calibri"/>
      <family val="2"/>
      <scheme val="minor"/>
    </font>
    <font>
      <b/>
      <sz val="25"/>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
      <patternFill patternType="solid">
        <fgColor theme="0"/>
        <bgColor indexed="64"/>
      </patternFill>
    </fill>
    <fill>
      <patternFill patternType="solid">
        <fgColor theme="2"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style="medium">
        <color rgb="FFDDDDDD"/>
      </top>
      <bottom style="medium">
        <color rgb="FFDDDDDD"/>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18" fillId="33" borderId="10" xfId="0" applyFont="1" applyFill="1" applyBorder="1" applyAlignment="1">
      <alignment horizontal="left" vertical="center" wrapText="1"/>
    </xf>
    <xf numFmtId="0" fontId="19" fillId="0" borderId="10" xfId="0" applyFont="1" applyBorder="1" applyAlignment="1">
      <alignment horizontal="left" vertical="center" wrapText="1"/>
    </xf>
    <xf numFmtId="168"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20" fillId="35" borderId="0" xfId="0" applyFont="1" applyFill="1"/>
    <xf numFmtId="0" fontId="0" fillId="35" borderId="0" xfId="0" applyFill="1"/>
    <xf numFmtId="0" fontId="22" fillId="34" borderId="0" xfId="0" applyFont="1" applyFill="1" applyAlignment="1">
      <alignment horizontal="left" vertical="center" wrapText="1" indent="1"/>
    </xf>
    <xf numFmtId="0" fontId="16" fillId="34" borderId="0" xfId="0" applyFont="1" applyFill="1"/>
    <xf numFmtId="0" fontId="16" fillId="34" borderId="0" xfId="0" applyFont="1" applyFill="1" applyAlignment="1">
      <alignment horizontal="left" vertical="center" wrapText="1" indent="1"/>
    </xf>
    <xf numFmtId="168" fontId="16" fillId="34" borderId="0" xfId="1" applyNumberFormat="1"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
    <dxf>
      <font>
        <b/>
      </font>
      <fill>
        <patternFill patternType="solid">
          <fgColor indexed="64"/>
          <bgColor theme="0"/>
        </patternFill>
      </fill>
    </dxf>
    <dxf>
      <font>
        <b/>
      </font>
      <fill>
        <patternFill patternType="solid">
          <fgColor indexed="64"/>
          <bgColor theme="0"/>
        </patternFill>
      </fill>
    </dxf>
    <dxf>
      <font>
        <b/>
      </font>
      <fill>
        <patternFill patternType="solid">
          <fgColor indexed="64"/>
          <bgColor theme="0"/>
        </patternFill>
      </fill>
    </dxf>
    <dxf>
      <font>
        <b/>
        <i val="0"/>
        <strike val="0"/>
        <condense val="0"/>
        <extend val="0"/>
        <outline val="0"/>
        <shadow val="0"/>
        <u val="none"/>
        <vertAlign val="baseline"/>
        <sz val="10"/>
        <color theme="1"/>
        <name val="Segoe UI"/>
        <family val="2"/>
        <scheme val="none"/>
      </font>
      <fill>
        <patternFill patternType="solid">
          <fgColor indexed="64"/>
          <bgColor theme="0"/>
        </patternFill>
      </fill>
      <alignment horizontal="left" vertical="center" textRotation="0" wrapText="1" indent="1"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[Healthcare_Consulting_Dashboard.xlsx^.xlsx]PivotSummary!PivotTable1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PivotSummary!$B$3</c:f>
              <c:strCache>
                <c:ptCount val="1"/>
                <c:pt idx="0">
                  <c:v>Total</c:v>
                </c:pt>
              </c:strCache>
            </c:strRef>
          </c:tx>
          <c:spPr>
            <a:ln w="28575" cap="rnd">
              <a:solidFill>
                <a:schemeClr val="accent1"/>
              </a:solidFill>
              <a:round/>
            </a:ln>
            <a:effectLst/>
          </c:spPr>
          <c:marker>
            <c:symbol val="none"/>
          </c:marker>
          <c:cat>
            <c:strRef>
              <c:f>PivotSummary!$A$4:$A$14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PivotSummary!$B$4:$B$14</c:f>
              <c:numCache>
                <c:formatCode>General</c:formatCode>
                <c:ptCount val="10"/>
                <c:pt idx="0">
                  <c:v>8</c:v>
                </c:pt>
                <c:pt idx="1">
                  <c:v>15</c:v>
                </c:pt>
                <c:pt idx="2">
                  <c:v>8</c:v>
                </c:pt>
                <c:pt idx="3">
                  <c:v>7</c:v>
                </c:pt>
                <c:pt idx="4">
                  <c:v>9</c:v>
                </c:pt>
                <c:pt idx="5">
                  <c:v>9</c:v>
                </c:pt>
                <c:pt idx="6">
                  <c:v>11</c:v>
                </c:pt>
                <c:pt idx="7">
                  <c:v>12</c:v>
                </c:pt>
                <c:pt idx="8">
                  <c:v>14</c:v>
                </c:pt>
                <c:pt idx="9">
                  <c:v>7</c:v>
                </c:pt>
              </c:numCache>
            </c:numRef>
          </c:val>
          <c:smooth val="0"/>
          <c:extLst>
            <c:ext xmlns:c16="http://schemas.microsoft.com/office/drawing/2014/chart" uri="{C3380CC4-5D6E-409C-BE32-E72D297353CC}">
              <c16:uniqueId val="{00000000-9B6C-4662-A2FD-70C3A35BFA27}"/>
            </c:ext>
          </c:extLst>
        </c:ser>
        <c:dLbls>
          <c:showLegendKey val="0"/>
          <c:showVal val="0"/>
          <c:showCatName val="0"/>
          <c:showSerName val="0"/>
          <c:showPercent val="0"/>
          <c:showBubbleSize val="0"/>
        </c:dLbls>
        <c:smooth val="0"/>
        <c:axId val="1485993935"/>
        <c:axId val="1485975695"/>
      </c:lineChart>
      <c:catAx>
        <c:axId val="148599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75695"/>
        <c:crosses val="autoZero"/>
        <c:auto val="1"/>
        <c:lblAlgn val="ctr"/>
        <c:lblOffset val="100"/>
        <c:noMultiLvlLbl val="0"/>
      </c:catAx>
      <c:valAx>
        <c:axId val="148597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9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[Healthcare_Consulting_Dashboard.xlsx^.xlsx]PivotSummary!PivotTable2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PivotSummary!$B$18</c:f>
              <c:strCache>
                <c:ptCount val="1"/>
                <c:pt idx="0">
                  <c:v>Total</c:v>
                </c:pt>
              </c:strCache>
            </c:strRef>
          </c:tx>
          <c:spPr>
            <a:solidFill>
              <a:schemeClr val="accent1"/>
            </a:solidFill>
            <a:ln>
              <a:noFill/>
            </a:ln>
            <a:effectLst/>
          </c:spPr>
          <c:invertIfNegative val="0"/>
          <c:cat>
            <c:strRef>
              <c:f>PivotSummary!$A$19:$A$22</c:f>
              <c:strCache>
                <c:ptCount val="3"/>
                <c:pt idx="0">
                  <c:v>Recovered</c:v>
                </c:pt>
                <c:pt idx="1">
                  <c:v>Referred</c:v>
                </c:pt>
                <c:pt idx="2">
                  <c:v>Under Treatment</c:v>
                </c:pt>
              </c:strCache>
            </c:strRef>
          </c:cat>
          <c:val>
            <c:numRef>
              <c:f>PivotSummary!$B$19:$B$22</c:f>
              <c:numCache>
                <c:formatCode>General</c:formatCode>
                <c:ptCount val="3"/>
                <c:pt idx="0">
                  <c:v>5</c:v>
                </c:pt>
                <c:pt idx="1">
                  <c:v>1</c:v>
                </c:pt>
                <c:pt idx="2">
                  <c:v>2</c:v>
                </c:pt>
              </c:numCache>
            </c:numRef>
          </c:val>
          <c:extLst>
            <c:ext xmlns:c16="http://schemas.microsoft.com/office/drawing/2014/chart" uri="{C3380CC4-5D6E-409C-BE32-E72D297353CC}">
              <c16:uniqueId val="{00000000-16F7-47AE-A47D-1D7CE6CCBAB0}"/>
            </c:ext>
          </c:extLst>
        </c:ser>
        <c:dLbls>
          <c:showLegendKey val="0"/>
          <c:showVal val="0"/>
          <c:showCatName val="0"/>
          <c:showSerName val="0"/>
          <c:showPercent val="0"/>
          <c:showBubbleSize val="0"/>
        </c:dLbls>
        <c:gapWidth val="219"/>
        <c:overlap val="-27"/>
        <c:axId val="1485988655"/>
        <c:axId val="1485978575"/>
      </c:barChart>
      <c:catAx>
        <c:axId val="148598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78575"/>
        <c:crosses val="autoZero"/>
        <c:auto val="1"/>
        <c:lblAlgn val="ctr"/>
        <c:lblOffset val="100"/>
        <c:noMultiLvlLbl val="0"/>
      </c:catAx>
      <c:valAx>
        <c:axId val="148597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8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[Healthcare_Consulting_Dashboard.xlsx^.xlsx]PivotSummary!PivotTable3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Contamination</a:t>
            </a:r>
            <a:r>
              <a:rPr lang="en-US" baseline="0"/>
              <a:t> Incident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PivotSummary!$B$25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PivotSummary!$A$26:$A$28</c:f>
              <c:strCache>
                <c:ptCount val="2"/>
                <c:pt idx="0">
                  <c:v>No</c:v>
                </c:pt>
                <c:pt idx="1">
                  <c:v>Yes</c:v>
                </c:pt>
              </c:strCache>
            </c:strRef>
          </c:cat>
          <c:val>
            <c:numRef>
              <c:f>PivotSummary!$B$26:$B$28</c:f>
              <c:numCache>
                <c:formatCode>General</c:formatCode>
                <c:ptCount val="2"/>
                <c:pt idx="0">
                  <c:v>90</c:v>
                </c:pt>
                <c:pt idx="1">
                  <c:v>10</c:v>
                </c:pt>
              </c:numCache>
            </c:numRef>
          </c:val>
          <c:extLst>
            <c:ext xmlns:c16="http://schemas.microsoft.com/office/drawing/2014/chart" uri="{C3380CC4-5D6E-409C-BE32-E72D297353CC}">
              <c16:uniqueId val="{00000000-0E3A-4DA5-9B75-AC5AF8B745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[Healthcare_Consulting_Dashboard.xlsx^.xlsx]PivotSummary!PivotTable1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0" i="0" u="none" strike="noStrike" baseline="0">
                <a:effectLst/>
              </a:rPr>
              <a:t>Admissions by Month</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PivotSummary!$B$3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PivotSummary!$A$4:$A$14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PivotSummary!$B$4:$B$14</c:f>
              <c:numCache>
                <c:formatCode>General</c:formatCode>
                <c:ptCount val="10"/>
                <c:pt idx="0">
                  <c:v>8</c:v>
                </c:pt>
                <c:pt idx="1">
                  <c:v>15</c:v>
                </c:pt>
                <c:pt idx="2">
                  <c:v>8</c:v>
                </c:pt>
                <c:pt idx="3">
                  <c:v>7</c:v>
                </c:pt>
                <c:pt idx="4">
                  <c:v>9</c:v>
                </c:pt>
                <c:pt idx="5">
                  <c:v>9</c:v>
                </c:pt>
                <c:pt idx="6">
                  <c:v>11</c:v>
                </c:pt>
                <c:pt idx="7">
                  <c:v>12</c:v>
                </c:pt>
                <c:pt idx="8">
                  <c:v>14</c:v>
                </c:pt>
                <c:pt idx="9">
                  <c:v>7</c:v>
                </c:pt>
              </c:numCache>
            </c:numRef>
          </c:val>
          <c:smooth val="0"/>
          <c:extLst>
            <c:ext xmlns:c16="http://schemas.microsoft.com/office/drawing/2014/chart" uri="{C3380CC4-5D6E-409C-BE32-E72D297353CC}">
              <c16:uniqueId val="{00000000-B5C0-449F-AD4C-AD9B131250A4}"/>
            </c:ext>
          </c:extLst>
        </c:ser>
        <c:dLbls>
          <c:dLblPos val="ctr"/>
          <c:showLegendKey val="0"/>
          <c:showVal val="1"/>
          <c:showCatName val="0"/>
          <c:showSerName val="0"/>
          <c:showPercent val="0"/>
          <c:showBubbleSize val="0"/>
        </c:dLbls>
        <c:marker val="1"/>
        <c:smooth val="0"/>
        <c:axId val="1485993935"/>
        <c:axId val="1485975695"/>
      </c:lineChart>
      <c:catAx>
        <c:axId val="14859939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5975695"/>
        <c:crosses val="autoZero"/>
        <c:auto val="1"/>
        <c:lblAlgn val="ctr"/>
        <c:lblOffset val="100"/>
        <c:noMultiLvlLbl val="0"/>
      </c:catAx>
      <c:valAx>
        <c:axId val="14859756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859939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[Healthcare_Consulting_Dashboard.xlsx^.xlsx]PivotSummary!PivotTable2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Outcome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PivotSummary!$B$18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PivotSummary!$A$19:$A$22</c:f>
              <c:strCache>
                <c:ptCount val="3"/>
                <c:pt idx="0">
                  <c:v>Recovered</c:v>
                </c:pt>
                <c:pt idx="1">
                  <c:v>Referred</c:v>
                </c:pt>
                <c:pt idx="2">
                  <c:v>Under Treatment</c:v>
                </c:pt>
              </c:strCache>
            </c:strRef>
          </c:cat>
          <c:val>
            <c:numRef>
              <c:f>PivotSummary!$B$19:$B$22</c:f>
              <c:numCache>
                <c:formatCode>General</c:formatCode>
                <c:ptCount val="3"/>
                <c:pt idx="0">
                  <c:v>5</c:v>
                </c:pt>
                <c:pt idx="1">
                  <c:v>1</c:v>
                </c:pt>
                <c:pt idx="2">
                  <c:v>2</c:v>
                </c:pt>
              </c:numCache>
            </c:numRef>
          </c:val>
          <c:extLst>
            <c:ext xmlns:c16="http://schemas.microsoft.com/office/drawing/2014/chart" uri="{C3380CC4-5D6E-409C-BE32-E72D297353CC}">
              <c16:uniqueId val="{00000000-F2C7-49A8-AD1F-06FB07FCC2C2}"/>
            </c:ext>
          </c:extLst>
        </c:ser>
        <c:dLbls>
          <c:dLblPos val="outEnd"/>
          <c:showLegendKey val="0"/>
          <c:showVal val="1"/>
          <c:showCatName val="0"/>
          <c:showSerName val="0"/>
          <c:showPercent val="0"/>
          <c:showBubbleSize val="0"/>
        </c:dLbls>
        <c:gapWidth val="219"/>
        <c:overlap val="-27"/>
        <c:axId val="1485988655"/>
        <c:axId val="1485978575"/>
      </c:barChart>
      <c:catAx>
        <c:axId val="148598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78575"/>
        <c:crosses val="autoZero"/>
        <c:auto val="1"/>
        <c:lblAlgn val="ctr"/>
        <c:lblOffset val="100"/>
        <c:noMultiLvlLbl val="0"/>
      </c:catAx>
      <c:valAx>
        <c:axId val="148597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8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[Healthcare_Consulting_Dashboard.xlsx^.xlsx]PivotSummary!PivotTable3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Contamination</a:t>
            </a:r>
            <a:r>
              <a:rPr lang="en-US" baseline="0"/>
              <a:t> Incident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PivotSummary!$B$25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F8-4B8C-80D8-11B089244D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F8-4B8C-80D8-11B089244D00}"/>
              </c:ext>
            </c:extLst>
          </c:dPt>
          <c:cat>
            <c:strRef>
              <c:f>PivotSummary!$A$26:$A$28</c:f>
              <c:strCache>
                <c:ptCount val="2"/>
                <c:pt idx="0">
                  <c:v>No</c:v>
                </c:pt>
                <c:pt idx="1">
                  <c:v>Yes</c:v>
                </c:pt>
              </c:strCache>
            </c:strRef>
          </c:cat>
          <c:val>
            <c:numRef>
              <c:f>PivotSummary!$B$26:$B$28</c:f>
              <c:numCache>
                <c:formatCode>General</c:formatCode>
                <c:ptCount val="2"/>
                <c:pt idx="0">
                  <c:v>90</c:v>
                </c:pt>
                <c:pt idx="1">
                  <c:v>10</c:v>
                </c:pt>
              </c:numCache>
            </c:numRef>
          </c:val>
          <c:extLst>
            <c:ext xmlns:c16="http://schemas.microsoft.com/office/drawing/2014/chart" uri="{C3380CC4-5D6E-409C-BE32-E72D297353CC}">
              <c16:uniqueId val="{00000004-EAF8-4B8C-80D8-11B089244D0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3175</xdr:rowOff>
    </xdr:from>
    <xdr:to>
      <xdr:col>9</xdr:col>
      <xdr:colOff>596900</xdr:colOff>
      <xdr:row>14</xdr:row>
      <xdr:rowOff>0</xdr:rowOff>
    </xdr:to>
    <xdr:graphicFrame macro="">
      <xdr:nvGraphicFramePr>
        <xdr:cNvPr id="2" name="Chart 1">
          <a:extLst>
            <a:ext uri="{FF2B5EF4-FFF2-40B4-BE49-F238E27FC236}">
              <a16:creationId xmlns:a16="http://schemas.microsoft.com/office/drawing/2014/main" id="{9958455E-BD05-0F52-9065-F9D2F50E7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107950</xdr:colOff>
      <xdr:row>14</xdr:row>
      <xdr:rowOff>130175</xdr:rowOff>
    </xdr:from>
    <xdr:to>
      <xdr:col>7</xdr:col>
      <xdr:colOff>539750</xdr:colOff>
      <xdr:row>23</xdr:row>
      <xdr:rowOff>63500</xdr:rowOff>
    </xdr:to>
    <xdr:graphicFrame macro="">
      <xdr:nvGraphicFramePr>
        <xdr:cNvPr id="3" name="Chart 2">
          <a:extLst>
            <a:ext uri="{FF2B5EF4-FFF2-40B4-BE49-F238E27FC236}">
              <a16:creationId xmlns:a16="http://schemas.microsoft.com/office/drawing/2014/main" id="{0FF9AA13-71C1-3E12-AB74-237836E8D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63500</xdr:colOff>
      <xdr:row>28</xdr:row>
      <xdr:rowOff>117475</xdr:rowOff>
    </xdr:from>
    <xdr:to>
      <xdr:col>9</xdr:col>
      <xdr:colOff>38100</xdr:colOff>
      <xdr:row>39</xdr:row>
      <xdr:rowOff>69850</xdr:rowOff>
    </xdr:to>
    <xdr:graphicFrame macro="">
      <xdr:nvGraphicFramePr>
        <xdr:cNvPr id="4" name="Chart 3">
          <a:extLst>
            <a:ext uri="{FF2B5EF4-FFF2-40B4-BE49-F238E27FC236}">
              <a16:creationId xmlns:a16="http://schemas.microsoft.com/office/drawing/2014/main" id="{71E45B10-7F58-E707-7CE9-7F337D120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317500</xdr:colOff>
      <xdr:row>1</xdr:row>
      <xdr:rowOff>0</xdr:rowOff>
    </xdr:from>
    <xdr:to>
      <xdr:col>13</xdr:col>
      <xdr:colOff>317500</xdr:colOff>
      <xdr:row>14</xdr:row>
      <xdr:rowOff>130175</xdr:rowOff>
    </xdr:to>
    <mc:AlternateContent xmlns:mc="http://schemas.openxmlformats.org/markup-compatibility/2006">
      <mc:Choice xmlns:a14="http://schemas.microsoft.com/office/drawing/2010/main" Requires="a14">
        <xdr:graphicFrame macro="">
          <xdr:nvGraphicFramePr>
            <xdr:cNvPr id="6" name="Date (Month)">
              <a:extLst>
                <a:ext uri="{FF2B5EF4-FFF2-40B4-BE49-F238E27FC236}">
                  <a16:creationId xmlns:a16="http://schemas.microsoft.com/office/drawing/2014/main" id="{C3E19305-64D6-EA6D-1822-ED895A4BDA5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7416800" y="184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xdr:colOff>
      <xdr:row>1</xdr:row>
      <xdr:rowOff>12700</xdr:rowOff>
    </xdr:from>
    <xdr:to>
      <xdr:col>10</xdr:col>
      <xdr:colOff>0</xdr:colOff>
      <xdr:row>13</xdr:row>
      <xdr:rowOff>47037</xdr:rowOff>
    </xdr:to>
    <xdr:graphicFrame macro="">
      <xdr:nvGraphicFramePr>
        <xdr:cNvPr id="4" name="Chart 3">
          <a:extLst>
            <a:ext uri="{FF2B5EF4-FFF2-40B4-BE49-F238E27FC236}">
              <a16:creationId xmlns:a16="http://schemas.microsoft.com/office/drawing/2014/main" id="{A3D01153-3566-463E-A8CB-A15D1220D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12700</xdr:colOff>
      <xdr:row>2</xdr:row>
      <xdr:rowOff>0</xdr:rowOff>
    </xdr:from>
    <xdr:to>
      <xdr:col>18</xdr:col>
      <xdr:colOff>0</xdr:colOff>
      <xdr:row>10</xdr:row>
      <xdr:rowOff>196850</xdr:rowOff>
    </xdr:to>
    <xdr:graphicFrame macro="">
      <xdr:nvGraphicFramePr>
        <xdr:cNvPr id="8" name="Chart 7">
          <a:extLst>
            <a:ext uri="{FF2B5EF4-FFF2-40B4-BE49-F238E27FC236}">
              <a16:creationId xmlns:a16="http://schemas.microsoft.com/office/drawing/2014/main" id="{B1D3C655-FA29-49C4-8B3D-E6DC8EB7E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14</xdr:row>
      <xdr:rowOff>24929</xdr:rowOff>
    </xdr:from>
    <xdr:to>
      <xdr:col>10</xdr:col>
      <xdr:colOff>6349</xdr:colOff>
      <xdr:row>24</xdr:row>
      <xdr:rowOff>105833</xdr:rowOff>
    </xdr:to>
    <xdr:graphicFrame macro="">
      <xdr:nvGraphicFramePr>
        <xdr:cNvPr id="11" name="Chart 10">
          <a:extLst>
            <a:ext uri="{FF2B5EF4-FFF2-40B4-BE49-F238E27FC236}">
              <a16:creationId xmlns:a16="http://schemas.microsoft.com/office/drawing/2014/main" id="{FD131351-85A0-4832-B248-0B8656071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18109</xdr:colOff>
      <xdr:row>13</xdr:row>
      <xdr:rowOff>29868</xdr:rowOff>
    </xdr:from>
    <xdr:to>
      <xdr:col>14</xdr:col>
      <xdr:colOff>18109</xdr:colOff>
      <xdr:row>26</xdr:row>
      <xdr:rowOff>121942</xdr:rowOff>
    </xdr:to>
    <mc:AlternateContent xmlns:mc="http://schemas.openxmlformats.org/markup-compatibility/2006">
      <mc:Choice xmlns:a14="http://schemas.microsoft.com/office/drawing/2010/main" Requires="a14">
        <xdr:graphicFrame macro="">
          <xdr:nvGraphicFramePr>
            <xdr:cNvPr id="12" name="Date (Month) 1">
              <a:extLst>
                <a:ext uri="{FF2B5EF4-FFF2-40B4-BE49-F238E27FC236}">
                  <a16:creationId xmlns:a16="http://schemas.microsoft.com/office/drawing/2014/main" id="{3EE324BD-8437-401D-853A-8C42503D1C02}"/>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8255222" y="2793460"/>
              <a:ext cx="1824507" cy="2569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47ika" refreshedDate="45977.56447164352" backgroundQuery="1" createdVersion="8" refreshedVersion="8" minRefreshableVersion="3" recordCount="0" supportSubquery="1" supportAdvancedDrill="1" xr:uid="{ECE7E572-0B75-42D6-86AE-93D37CFC4AD5}">
  <cacheSource type="external" connectionId="1"/>
  <cacheFields count="3">
    <cacheField name="[Data].[Date].[Date]" caption="Date" numFmtId="0" hierarchy="1" level="1">
      <sharedItems containsSemiMixedTypes="0" containsNonDate="0" containsDate="1" containsString="0" minDate="2025-01-02T00:00:00" maxDate="2025-01-29T00:00:00" count="7">
        <d v="2025-01-02T00:00:00"/>
        <d v="2025-01-09T00:00:00"/>
        <d v="2025-01-14T00:00:00"/>
        <d v="2025-01-15T00:00:00"/>
        <d v="2025-01-21T00:00:00"/>
        <d v="2025-01-22T00:00:00"/>
        <d v="2025-01-28T00:00:00"/>
      </sharedItems>
    </cacheField>
    <cacheField name="[Data].[Date (Month)].[Date (Month)]" caption="Date (Month)" numFmtId="0" hierarchy="6" level="1">
      <sharedItems count="10">
        <s v="Jan"/>
        <s v="Feb"/>
        <s v="Mar"/>
        <s v="Apr"/>
        <s v="May"/>
        <s v="Jun"/>
        <s v="Jul"/>
        <s v="Aug"/>
        <s v="Sep"/>
        <s v="Oct"/>
      </sharedItems>
    </cacheField>
    <cacheField name="[Measures].[Count of PatientID]" caption="Count of PatientID" numFmtId="0" hierarchy="10" level="32767"/>
  </cacheFields>
  <cacheHierarchies count="11">
    <cacheHierarchy uniqueName="[Data].[PatientID]" caption="PatientID" attribute="1" defaultMemberUniqueName="[Data].[PatientID].[All]" allUniqueName="[Data].[PatientID].[All]" dimensionUniqueName="[Data]" displayFolder="" count="0" memberValueDatatype="130" unbalanced="0"/>
    <cacheHierarchy uniqueName="[Data].[Date]" caption="Date" attribute="1" time="1" defaultMemberUniqueName="[Data].[Date].[All]" allUniqueName="[Data].[Date].[All]" dimensionUniqueName="[Data]" displayFolder="" count="2" memberValueDatatype="7" unbalanced="0">
      <fieldsUsage count="2">
        <fieldUsage x="-1"/>
        <fieldUsage x="0"/>
      </fieldsUsage>
    </cacheHierarchy>
    <cacheHierarchy uniqueName="[Data].[Outcome]" caption="Outcome" attribute="1" defaultMemberUniqueName="[Data].[Outcome].[All]" allUniqueName="[Data].[Outcome].[All]" dimensionUniqueName="[Data]" displayFolder="" count="0" memberValueDatatype="130" unbalanced="0"/>
    <cacheHierarchy uniqueName="[Data].[Contamination Incident]" caption="Contamination Incident" attribute="1" defaultMemberUniqueName="[Data].[Contamination Incident].[All]" allUniqueName="[Data].[Contamination Incident].[All]" dimensionUniqueName="[Data]" displayFolder="" count="0" memberValueDatatype="130" unbalanced="0"/>
    <cacheHierarchy uniqueName="[Data].[Turnaround Hours]" caption="Turnaround Hours" attribute="1" defaultMemberUniqueName="[Data].[Turnaround Hours].[All]" allUniqueName="[Data].[Turnaround Hours].[All]" dimensionUniqueName="[Data]" displayFolder="" count="0" memberValueDatatype="20" unbalanced="0"/>
    <cacheHierarchy uniqueName="[Data].[Treatment Cost]" caption="Treatment Cost" attribute="1" defaultMemberUniqueName="[Data].[Treatment Cost].[All]" allUniqueName="[Data].[Treatment Cost].[All]" dimensionUniqueName="[Data]" displayFolder="" count="0" memberValueDatatype="2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1"/>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atientID]" caption="Count of PatientID" measure="1" displayFolder="" measureGroup="Data"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47ika" refreshedDate="45977.590157175924" backgroundQuery="1" createdVersion="8" refreshedVersion="8" minRefreshableVersion="3" recordCount="0" supportSubquery="1" supportAdvancedDrill="1" xr:uid="{C47D6CFD-0C33-4964-AB43-305B0001A13C}">
  <cacheSource type="external" connectionId="1"/>
  <cacheFields count="3">
    <cacheField name="[Data].[Contamination Incident].[Contamination Incident]" caption="Contamination Incident" numFmtId="0" hierarchy="3" level="1">
      <sharedItems count="2">
        <s v="No"/>
        <s v="Yes"/>
      </sharedItems>
    </cacheField>
    <cacheField name="[Measures].[Count of PatientID]" caption="Count of PatientID" numFmtId="0" hierarchy="10" level="32767"/>
    <cacheField name="[Data].[Date].[Date]" caption="Date" numFmtId="0" hierarchy="1" level="1">
      <sharedItems containsSemiMixedTypes="0" containsNonDate="0" containsString="0"/>
    </cacheField>
  </cacheFields>
  <cacheHierarchies count="11">
    <cacheHierarchy uniqueName="[Data].[PatientID]" caption="PatientID" attribute="1" defaultMemberUniqueName="[Data].[PatientID].[All]" allUniqueName="[Data].[Patient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fieldsUsage count="2">
        <fieldUsage x="-1"/>
        <fieldUsage x="2"/>
      </fieldsUsage>
    </cacheHierarchy>
    <cacheHierarchy uniqueName="[Data].[Outcome]" caption="Outcome" attribute="1" defaultMemberUniqueName="[Data].[Outcome].[All]" allUniqueName="[Data].[Outcome].[All]" dimensionUniqueName="[Data]" displayFolder="" count="2" memberValueDatatype="130" unbalanced="0"/>
    <cacheHierarchy uniqueName="[Data].[Contamination Incident]" caption="Contamination Incident" attribute="1" defaultMemberUniqueName="[Data].[Contamination Incident].[All]" allUniqueName="[Data].[Contamination Incident].[All]" dimensionUniqueName="[Data]" displayFolder="" count="2" memberValueDatatype="130" unbalanced="0">
      <fieldsUsage count="2">
        <fieldUsage x="-1"/>
        <fieldUsage x="0"/>
      </fieldsUsage>
    </cacheHierarchy>
    <cacheHierarchy uniqueName="[Data].[Turnaround Hours]" caption="Turnaround Hours" attribute="1" defaultMemberUniqueName="[Data].[Turnaround Hours].[All]" allUniqueName="[Data].[Turnaround Hours].[All]" dimensionUniqueName="[Data]" displayFolder="" count="2" memberValueDatatype="20" unbalanced="0"/>
    <cacheHierarchy uniqueName="[Data].[Treatment Cost]" caption="Treatment Cost" attribute="1" defaultMemberUniqueName="[Data].[Treatment Cost].[All]" allUniqueName="[Data].[Treatment Cost].[All]" dimensionUniqueName="[Data]" displayFolder="" count="2" memberValueDatatype="20" unbalanced="0"/>
    <cacheHierarchy uniqueName="[Data].[Date (Month)]" caption="Date (Month)" attribute="1" defaultMemberUniqueName="[Data].[Date (Month)].[All]" allUniqueName="[Data].[Date (Month)].[All]" dimensionUniqueName="[Data]" displayFolder="" count="2" memberValueDatatype="130" unbalanced="0"/>
    <cacheHierarchy uniqueName="[Data].[Date (Month Index)]" caption="Date (Month Index)" attribute="1" defaultMemberUniqueName="[Data].[Date (Month Index)].[All]" allUniqueName="[Data].[Date (Month Index)].[All]" dimensionUniqueName="[Data]" displayFolder="" count="2"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atientID]" caption="Count of PatientID" measure="1" displayFolder="" measureGroup="Data"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47ika" refreshedDate="45977.59700347222" backgroundQuery="1" createdVersion="8" refreshedVersion="8" minRefreshableVersion="3" recordCount="0" supportSubquery="1" supportAdvancedDrill="1" xr:uid="{8C22AC43-105C-4DF0-B2E2-9DC8079E9D99}">
  <cacheSource type="external" connectionId="1"/>
  <cacheFields count="3">
    <cacheField name="[Measures].[Count of PatientID]" caption="Count of PatientID" numFmtId="0" hierarchy="10" level="32767"/>
    <cacheField name="[Data].[Outcome].[Outcome]" caption="Outcome" numFmtId="0" hierarchy="2" level="1">
      <sharedItems count="3">
        <s v="Recovered"/>
        <s v="Referred"/>
        <s v="Under Treatment"/>
      </sharedItems>
    </cacheField>
    <cacheField name="[Data].[Date (Month)].[Date (Month)]" caption="Date (Month)" numFmtId="0" hierarchy="6" level="1">
      <sharedItems containsSemiMixedTypes="0" containsNonDate="0" containsString="0"/>
    </cacheField>
  </cacheFields>
  <cacheHierarchies count="11">
    <cacheHierarchy uniqueName="[Data].[PatientID]" caption="PatientID" attribute="1" defaultMemberUniqueName="[Data].[PatientID].[All]" allUniqueName="[Data].[Patient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Outcome]" caption="Outcome" attribute="1" defaultMemberUniqueName="[Data].[Outcome].[All]" allUniqueName="[Data].[Outcome].[All]" dimensionUniqueName="[Data]" displayFolder="" count="2" memberValueDatatype="130" unbalanced="0">
      <fieldsUsage count="2">
        <fieldUsage x="-1"/>
        <fieldUsage x="1"/>
      </fieldsUsage>
    </cacheHierarchy>
    <cacheHierarchy uniqueName="[Data].[Contamination Incident]" caption="Contamination Incident" attribute="1" defaultMemberUniqueName="[Data].[Contamination Incident].[All]" allUniqueName="[Data].[Contamination Incident].[All]" dimensionUniqueName="[Data]" displayFolder="" count="2" memberValueDatatype="130" unbalanced="0"/>
    <cacheHierarchy uniqueName="[Data].[Turnaround Hours]" caption="Turnaround Hours" attribute="1" defaultMemberUniqueName="[Data].[Turnaround Hours].[All]" allUniqueName="[Data].[Turnaround Hours].[All]" dimensionUniqueName="[Data]" displayFolder="" count="2" memberValueDatatype="20" unbalanced="0"/>
    <cacheHierarchy uniqueName="[Data].[Treatment Cost]" caption="Treatment Cost" attribute="1" defaultMemberUniqueName="[Data].[Treatment Cost].[All]" allUniqueName="[Data].[Treatment Cost].[All]" dimensionUniqueName="[Data]" displayFolder="" count="2" memberValueDatatype="2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2"/>
      </fieldsUsage>
    </cacheHierarchy>
    <cacheHierarchy uniqueName="[Data].[Date (Month Index)]" caption="Date (Month Index)" attribute="1" defaultMemberUniqueName="[Data].[Date (Month Index)].[All]" allUniqueName="[Data].[Date (Month Index)].[All]" dimensionUniqueName="[Data]" displayFolder="" count="2"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atientID]" caption="Count of Patient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47ika" refreshedDate="45977.59122037037" backgroundQuery="1" createdVersion="3" refreshedVersion="8" minRefreshableVersion="3" recordCount="0" supportSubquery="1" supportAdvancedDrill="1" xr:uid="{D4C085AD-EA8B-40B2-9CA9-AC170A2AA5B7}">
  <cacheSource type="external" connectionId="1">
    <extLst>
      <ext xmlns:x14="http://schemas.microsoft.com/office/spreadsheetml/2009/9/main" uri="{F057638F-6D5F-4e77-A914-E7F072B9BCA8}">
        <x14:sourceConnection name="ThisWorkbookDataModel"/>
      </ext>
    </extLst>
  </cacheSource>
  <cacheFields count="0"/>
  <cacheHierarchies count="11">
    <cacheHierarchy uniqueName="[Data].[PatientID]" caption="PatientID" attribute="1" defaultMemberUniqueName="[Data].[PatientID].[All]" allUniqueName="[Data].[Patient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Outcome]" caption="Outcome" attribute="1" defaultMemberUniqueName="[Data].[Outcome].[All]" allUniqueName="[Data].[Outcome].[All]" dimensionUniqueName="[Data]" displayFolder="" count="0" memberValueDatatype="130" unbalanced="0"/>
    <cacheHierarchy uniqueName="[Data].[Contamination Incident]" caption="Contamination Incident" attribute="1" defaultMemberUniqueName="[Data].[Contamination Incident].[All]" allUniqueName="[Data].[Contamination Incident].[All]" dimensionUniqueName="[Data]" displayFolder="" count="0" memberValueDatatype="130" unbalanced="0"/>
    <cacheHierarchy uniqueName="[Data].[Turnaround Hours]" caption="Turnaround Hours" attribute="1" defaultMemberUniqueName="[Data].[Turnaround Hours].[All]" allUniqueName="[Data].[Turnaround Hours].[All]" dimensionUniqueName="[Data]" displayFolder="" count="0" memberValueDatatype="20" unbalanced="0"/>
    <cacheHierarchy uniqueName="[Data].[Treatment Cost]" caption="Treatment Cost" attribute="1" defaultMemberUniqueName="[Data].[Treatment Cost].[All]" allUniqueName="[Data].[Treatment Cost].[All]" dimensionUniqueName="[Data]" displayFolder="" count="0" memberValueDatatype="20" unbalanced="0"/>
    <cacheHierarchy uniqueName="[Data].[Date (Month)]" caption="Date (Month)" attribute="1" defaultMemberUniqueName="[Data].[Date (Month)].[All]" allUniqueName="[Data].[Date (Month)].[All]" dimensionUniqueName="[Data]" displayFolder="" count="2" memberValueDatatype="130" unbalanced="0"/>
    <cacheHierarchy uniqueName="[Data].[Date (Month Index)]" caption="Date (Month Index)" attribute="1" defaultMemberUniqueName="[Data].[Date (Month Index)].[All]" allUniqueName="[Data].[Date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PatientID]" caption="Count of PatientID" measure="1" displayFolder="" measureGroup="Dat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3479576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18742B-071A-401B-8EB2-B718CC5D0641}"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3">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items count="10">
        <item x="0" e="0"/>
        <item x="1" e="0"/>
        <item x="2" e="0"/>
        <item x="3" e="0"/>
        <item x="4" e="0"/>
        <item x="5" e="0"/>
        <item x="6" e="0"/>
        <item x="7" e="0"/>
        <item x="8" e="0"/>
        <item x="9" e="0"/>
      </items>
    </pivotField>
    <pivotField dataField="1" subtotalTop="0" showAll="0" defaultSubtotal="0"/>
  </pivotFields>
  <rowFields count="2">
    <field x="1"/>
    <field x="0"/>
  </rowFields>
  <rowItems count="11">
    <i>
      <x/>
    </i>
    <i>
      <x v="1"/>
    </i>
    <i>
      <x v="2"/>
    </i>
    <i>
      <x v="3"/>
    </i>
    <i>
      <x v="4"/>
    </i>
    <i>
      <x v="5"/>
    </i>
    <i>
      <x v="6"/>
    </i>
    <i>
      <x v="7"/>
    </i>
    <i>
      <x v="8"/>
    </i>
    <i>
      <x v="9"/>
    </i>
    <i t="grand">
      <x/>
    </i>
  </rowItems>
  <colItems count="1">
    <i/>
  </colItems>
  <dataFields count="1">
    <dataField name="Count of PatientID" fld="2"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_dat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CE3D26-3228-4A95-B082-02E9069B6929}" name="PivotTable3"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B2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ID" fld="1" subtotal="count" baseField="0" baseItem="0"/>
  </dataFields>
  <chartFormats count="4">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11">
    <pivotHierarchy dragToData="1"/>
    <pivotHierarchy multipleItemSelectionAllowed="1" dragToData="1">
      <members count="1" level="1">
        <member name="[Data].[Date].&amp;[2025-01-22T00:00:00]"/>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_dat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F408D4-3EB1-4F4B-A733-526F9A1E4F60}" name="PivotTable2"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2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atientID" fld="0"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1">
    <pivotHierarchy dragToData="1"/>
    <pivotHierarchy dragToData="1"/>
    <pivotHierarchy dragToData="1"/>
    <pivotHierarchy dragToData="1"/>
    <pivotHierarchy dragToData="1"/>
    <pivotHierarchy dragToData="1"/>
    <pivotHierarchy multipleItemSelectionAllowed="1" dragToData="1">
      <members count="1" level="1">
        <member name="[Data].[Date (Month)].&amp;[Mar]"/>
      </members>
    </pivotHierarchy>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_data^.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1739948-C412-4FF7-A87D-FDF2E0F6F2A5}" sourceName="[Data].[Date (Month)]">
  <pivotTables>
    <pivotTable tabId="4" name="PivotTable2"/>
  </pivotTables>
  <data>
    <olap pivotCacheId="347957641">
      <levels count="2">
        <level uniqueName="[Data].[Date (Month)].[(All)]" sourceCaption="(All)" count="0"/>
        <level uniqueName="[Data].[Date (Month)].[Date (Month)]" sourceCaption="Date (Month)" count="10">
          <ranges>
            <range startItem="0">
              <i n="[Data].[Date (Month)].&amp;[Jan]" c="Jan"/>
              <i n="[Data].[Date (Month)].&amp;[Feb]" c="Feb"/>
              <i n="[Data].[Date (Month)].&amp;[Mar]" c="Mar"/>
              <i n="[Data].[Date (Month)].&amp;[Apr]" c="Apr"/>
              <i n="[Data].[Date (Month)].&amp;[May]" c="May"/>
              <i n="[Data].[Date (Month)].&amp;[Jun]" c="Jun"/>
              <i n="[Data].[Date (Month)].&amp;[Jul]" c="Jul"/>
              <i n="[Data].[Date (Month)].&amp;[Aug]" c="Aug"/>
              <i n="[Data].[Date (Month)].&amp;[Sep]" c="Sep"/>
              <i n="[Data].[Date (Month)].&amp;[Oct]" c="Oct"/>
            </range>
          </ranges>
        </level>
      </levels>
      <selections count="1">
        <selection n="[Data].[Date (Month)].&amp;[Ma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CA97700-7224-40D5-9F69-40BF87C30FCC}" cache="Slicer_Date__Month" caption="Date (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3051BBB8-67EB-4396-B66E-A5F784A889E7}" cache="Slicer_Date__Month" caption="Date (Month)"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B2CB57-FE53-489F-8EB1-E59CB8A46EA7}" name="Data" displayName="Data" ref="A1:F101" totalsRowShown="0">
  <autoFilter ref="A1:F101" xr:uid="{C6B2CB57-FE53-489F-8EB1-E59CB8A46EA7}"/>
  <tableColumns count="6">
    <tableColumn id="1" xr3:uid="{92B88663-FF4F-4858-9EF5-6C6CBB4AD29C}" name="PatientID"/>
    <tableColumn id="2" xr3:uid="{36697CF5-AAA9-4884-BD3F-B086BCB49DE3}" name="Date" dataDxfId="4"/>
    <tableColumn id="3" xr3:uid="{4B8CF3D8-029F-4F60-A925-9AFFE50F6FEE}" name="Outcome"/>
    <tableColumn id="4" xr3:uid="{755E3810-02D0-4C42-82DC-823A5AA0DD87}" name="Contamination Incident"/>
    <tableColumn id="5" xr3:uid="{C947949F-64F2-469A-AC60-0DD3E2D387A8}" name="Turnaround Hours"/>
    <tableColumn id="6" xr3:uid="{2287F9AA-A07A-49A8-9234-858E18FD9D2E}" name="Treatment Cos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F1DAFC-C325-4033-BA52-4F3C5C0D91D7}" name="Metrics" displayName="Metrics" ref="A3:B16" totalsRowShown="0" headerRowDxfId="1" dataDxfId="0">
  <autoFilter ref="A3:B16" xr:uid="{BDF1DAFC-C325-4033-BA52-4F3C5C0D91D7}"/>
  <tableColumns count="2">
    <tableColumn id="1" xr3:uid="{034141E9-F38E-4F08-8A32-2DF048C616CD}" name="Metrics" dataDxfId="3"/>
    <tableColumn id="2" xr3:uid="{22CF7EC0-FE59-47DB-9BB3-D9A3D54E7F60}" name="Values" dataDxfId="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015F2-61D3-4223-8966-A79DB125DF10}">
  <dimension ref="A1:F101"/>
  <sheetViews>
    <sheetView topLeftCell="A2" workbookViewId="0">
      <selection activeCell="A4" sqref="A4"/>
    </sheetView>
  </sheetViews>
  <sheetFormatPr defaultRowHeight="14.5" x14ac:dyDescent="0.35"/>
  <cols>
    <col min="1" max="1" width="14.54296875" customWidth="1"/>
    <col min="2" max="2" width="13.1796875" customWidth="1"/>
    <col min="3" max="3" width="10.54296875" customWidth="1"/>
    <col min="4" max="4" width="22.6328125" customWidth="1"/>
    <col min="5" max="5" width="18.26953125" customWidth="1"/>
    <col min="6" max="6" width="15.90625" customWidth="1"/>
  </cols>
  <sheetData>
    <row r="1" spans="1:6" x14ac:dyDescent="0.35">
      <c r="A1" t="s">
        <v>0</v>
      </c>
      <c r="B1" t="s">
        <v>1</v>
      </c>
      <c r="C1" t="s">
        <v>2</v>
      </c>
      <c r="D1" t="s">
        <v>3</v>
      </c>
      <c r="E1" t="s">
        <v>4</v>
      </c>
      <c r="F1" t="s">
        <v>5</v>
      </c>
    </row>
    <row r="2" spans="1:6" x14ac:dyDescent="0.35">
      <c r="A2" t="s">
        <v>6</v>
      </c>
      <c r="B2" s="1">
        <v>45760</v>
      </c>
      <c r="C2" t="s">
        <v>7</v>
      </c>
      <c r="D2" t="s">
        <v>8</v>
      </c>
      <c r="E2">
        <v>17</v>
      </c>
      <c r="F2">
        <v>1097</v>
      </c>
    </row>
    <row r="3" spans="1:6" x14ac:dyDescent="0.35">
      <c r="A3" t="s">
        <v>9</v>
      </c>
      <c r="B3" s="1">
        <v>45928</v>
      </c>
      <c r="C3" t="s">
        <v>10</v>
      </c>
      <c r="D3" t="s">
        <v>11</v>
      </c>
      <c r="E3">
        <v>25</v>
      </c>
      <c r="F3">
        <v>1014</v>
      </c>
    </row>
    <row r="4" spans="1:6" x14ac:dyDescent="0.35">
      <c r="A4" t="s">
        <v>12</v>
      </c>
      <c r="B4" s="1">
        <v>45764</v>
      </c>
      <c r="C4" t="s">
        <v>10</v>
      </c>
      <c r="D4" t="s">
        <v>11</v>
      </c>
      <c r="E4">
        <v>20</v>
      </c>
      <c r="F4">
        <v>1963</v>
      </c>
    </row>
    <row r="5" spans="1:6" x14ac:dyDescent="0.35">
      <c r="A5" t="s">
        <v>13</v>
      </c>
      <c r="B5" s="1">
        <v>45729</v>
      </c>
      <c r="C5" t="s">
        <v>7</v>
      </c>
      <c r="D5" t="s">
        <v>11</v>
      </c>
      <c r="E5">
        <v>14</v>
      </c>
      <c r="F5">
        <v>1816</v>
      </c>
    </row>
    <row r="6" spans="1:6" x14ac:dyDescent="0.35">
      <c r="A6" t="s">
        <v>14</v>
      </c>
      <c r="B6" s="1">
        <v>45846</v>
      </c>
      <c r="C6" t="s">
        <v>10</v>
      </c>
      <c r="D6" t="s">
        <v>11</v>
      </c>
      <c r="E6">
        <v>16</v>
      </c>
      <c r="F6">
        <v>1749</v>
      </c>
    </row>
    <row r="7" spans="1:6" x14ac:dyDescent="0.35">
      <c r="A7" t="s">
        <v>15</v>
      </c>
      <c r="B7" s="1">
        <v>45678</v>
      </c>
      <c r="C7" t="s">
        <v>7</v>
      </c>
      <c r="D7" t="s">
        <v>11</v>
      </c>
      <c r="E7">
        <v>23</v>
      </c>
      <c r="F7">
        <v>1751</v>
      </c>
    </row>
    <row r="8" spans="1:6" x14ac:dyDescent="0.35">
      <c r="A8" t="s">
        <v>16</v>
      </c>
      <c r="B8" s="1">
        <v>45760</v>
      </c>
      <c r="C8" t="s">
        <v>7</v>
      </c>
      <c r="D8" t="s">
        <v>11</v>
      </c>
      <c r="E8">
        <v>16</v>
      </c>
      <c r="F8">
        <v>1495</v>
      </c>
    </row>
    <row r="9" spans="1:6" x14ac:dyDescent="0.35">
      <c r="A9" t="s">
        <v>17</v>
      </c>
      <c r="B9" s="1">
        <v>45779</v>
      </c>
      <c r="C9" t="s">
        <v>7</v>
      </c>
      <c r="D9" t="s">
        <v>11</v>
      </c>
      <c r="E9">
        <v>21</v>
      </c>
      <c r="F9">
        <v>1141</v>
      </c>
    </row>
    <row r="10" spans="1:6" x14ac:dyDescent="0.35">
      <c r="A10" t="s">
        <v>18</v>
      </c>
      <c r="B10" s="1">
        <v>45872</v>
      </c>
      <c r="C10" t="s">
        <v>7</v>
      </c>
      <c r="D10" t="s">
        <v>11</v>
      </c>
      <c r="E10">
        <v>20</v>
      </c>
      <c r="F10">
        <v>1530</v>
      </c>
    </row>
    <row r="11" spans="1:6" x14ac:dyDescent="0.35">
      <c r="A11" t="s">
        <v>19</v>
      </c>
      <c r="B11" s="1">
        <v>45745</v>
      </c>
      <c r="C11" t="s">
        <v>7</v>
      </c>
      <c r="D11" t="s">
        <v>11</v>
      </c>
      <c r="E11">
        <v>16</v>
      </c>
      <c r="F11">
        <v>1229</v>
      </c>
    </row>
    <row r="12" spans="1:6" x14ac:dyDescent="0.35">
      <c r="A12" t="s">
        <v>20</v>
      </c>
      <c r="B12" s="1">
        <v>45757</v>
      </c>
      <c r="C12" t="s">
        <v>7</v>
      </c>
      <c r="D12" t="s">
        <v>11</v>
      </c>
      <c r="E12">
        <v>30</v>
      </c>
      <c r="F12">
        <v>1890</v>
      </c>
    </row>
    <row r="13" spans="1:6" x14ac:dyDescent="0.35">
      <c r="A13" t="s">
        <v>21</v>
      </c>
      <c r="B13" s="1">
        <v>45809</v>
      </c>
      <c r="C13" t="s">
        <v>10</v>
      </c>
      <c r="D13" t="s">
        <v>8</v>
      </c>
      <c r="E13">
        <v>23</v>
      </c>
      <c r="F13">
        <v>1441</v>
      </c>
    </row>
    <row r="14" spans="1:6" x14ac:dyDescent="0.35">
      <c r="A14" t="s">
        <v>22</v>
      </c>
      <c r="B14" s="1">
        <v>45788</v>
      </c>
      <c r="C14" t="s">
        <v>7</v>
      </c>
      <c r="D14" t="s">
        <v>11</v>
      </c>
      <c r="E14">
        <v>9</v>
      </c>
      <c r="F14">
        <v>1169</v>
      </c>
    </row>
    <row r="15" spans="1:6" x14ac:dyDescent="0.35">
      <c r="A15" t="s">
        <v>23</v>
      </c>
      <c r="B15" s="1">
        <v>45807</v>
      </c>
      <c r="C15" t="s">
        <v>7</v>
      </c>
      <c r="D15" t="s">
        <v>11</v>
      </c>
      <c r="E15">
        <v>20</v>
      </c>
      <c r="F15">
        <v>1371</v>
      </c>
    </row>
    <row r="16" spans="1:6" x14ac:dyDescent="0.35">
      <c r="A16" t="s">
        <v>24</v>
      </c>
      <c r="B16" s="1">
        <v>45915</v>
      </c>
      <c r="C16" t="s">
        <v>25</v>
      </c>
      <c r="D16" t="s">
        <v>11</v>
      </c>
      <c r="E16">
        <v>16</v>
      </c>
      <c r="F16">
        <v>1665</v>
      </c>
    </row>
    <row r="17" spans="1:6" x14ac:dyDescent="0.35">
      <c r="A17" t="s">
        <v>26</v>
      </c>
      <c r="B17" s="1">
        <v>45951</v>
      </c>
      <c r="C17" t="s">
        <v>7</v>
      </c>
      <c r="D17" t="s">
        <v>8</v>
      </c>
      <c r="E17">
        <v>24</v>
      </c>
      <c r="F17">
        <v>1274</v>
      </c>
    </row>
    <row r="18" spans="1:6" x14ac:dyDescent="0.35">
      <c r="A18" t="s">
        <v>27</v>
      </c>
      <c r="B18" s="1">
        <v>45849</v>
      </c>
      <c r="C18" t="s">
        <v>7</v>
      </c>
      <c r="D18" t="s">
        <v>11</v>
      </c>
      <c r="E18">
        <v>16</v>
      </c>
      <c r="F18">
        <v>1171</v>
      </c>
    </row>
    <row r="19" spans="1:6" x14ac:dyDescent="0.35">
      <c r="A19" t="s">
        <v>28</v>
      </c>
      <c r="B19" s="1">
        <v>45934</v>
      </c>
      <c r="C19" t="s">
        <v>10</v>
      </c>
      <c r="D19" t="s">
        <v>11</v>
      </c>
      <c r="E19">
        <v>19</v>
      </c>
      <c r="F19">
        <v>1597</v>
      </c>
    </row>
    <row r="20" spans="1:6" x14ac:dyDescent="0.35">
      <c r="A20" t="s">
        <v>29</v>
      </c>
      <c r="B20" s="1">
        <v>45818</v>
      </c>
      <c r="C20" t="s">
        <v>7</v>
      </c>
      <c r="D20" t="s">
        <v>8</v>
      </c>
      <c r="E20">
        <v>22</v>
      </c>
      <c r="F20">
        <v>1597</v>
      </c>
    </row>
    <row r="21" spans="1:6" x14ac:dyDescent="0.35">
      <c r="A21" t="s">
        <v>30</v>
      </c>
      <c r="B21" s="1">
        <v>45679</v>
      </c>
      <c r="C21" t="s">
        <v>7</v>
      </c>
      <c r="D21" t="s">
        <v>11</v>
      </c>
      <c r="E21">
        <v>24</v>
      </c>
      <c r="F21">
        <v>1297</v>
      </c>
    </row>
    <row r="22" spans="1:6" x14ac:dyDescent="0.35">
      <c r="A22" t="s">
        <v>31</v>
      </c>
      <c r="B22" s="1">
        <v>45910</v>
      </c>
      <c r="C22" t="s">
        <v>7</v>
      </c>
      <c r="D22" t="s">
        <v>11</v>
      </c>
      <c r="E22">
        <v>13</v>
      </c>
      <c r="F22">
        <v>1311</v>
      </c>
    </row>
    <row r="23" spans="1:6" x14ac:dyDescent="0.35">
      <c r="A23" t="s">
        <v>32</v>
      </c>
      <c r="B23" s="1">
        <v>45893</v>
      </c>
      <c r="C23" t="s">
        <v>7</v>
      </c>
      <c r="D23" t="s">
        <v>11</v>
      </c>
      <c r="E23">
        <v>18</v>
      </c>
      <c r="F23">
        <v>1592</v>
      </c>
    </row>
    <row r="24" spans="1:6" x14ac:dyDescent="0.35">
      <c r="A24" t="s">
        <v>33</v>
      </c>
      <c r="B24" s="1">
        <v>45706</v>
      </c>
      <c r="C24" t="s">
        <v>25</v>
      </c>
      <c r="D24" t="s">
        <v>11</v>
      </c>
      <c r="E24">
        <v>17</v>
      </c>
      <c r="F24">
        <v>920</v>
      </c>
    </row>
    <row r="25" spans="1:6" x14ac:dyDescent="0.35">
      <c r="A25" t="s">
        <v>34</v>
      </c>
      <c r="B25" s="1">
        <v>45716</v>
      </c>
      <c r="C25" t="s">
        <v>10</v>
      </c>
      <c r="D25" t="s">
        <v>11</v>
      </c>
      <c r="E25">
        <v>16</v>
      </c>
      <c r="F25">
        <v>937</v>
      </c>
    </row>
    <row r="26" spans="1:6" x14ac:dyDescent="0.35">
      <c r="A26" t="s">
        <v>35</v>
      </c>
      <c r="B26" s="1">
        <v>45827</v>
      </c>
      <c r="C26" t="s">
        <v>10</v>
      </c>
      <c r="D26" t="s">
        <v>11</v>
      </c>
      <c r="E26">
        <v>28</v>
      </c>
      <c r="F26">
        <v>1212</v>
      </c>
    </row>
    <row r="27" spans="1:6" x14ac:dyDescent="0.35">
      <c r="A27" t="s">
        <v>36</v>
      </c>
      <c r="B27" s="1">
        <v>45845</v>
      </c>
      <c r="C27" t="s">
        <v>25</v>
      </c>
      <c r="D27" t="s">
        <v>11</v>
      </c>
      <c r="E27">
        <v>22</v>
      </c>
      <c r="F27">
        <v>1414</v>
      </c>
    </row>
    <row r="28" spans="1:6" x14ac:dyDescent="0.35">
      <c r="A28" t="s">
        <v>37</v>
      </c>
      <c r="B28" s="1">
        <v>45928</v>
      </c>
      <c r="C28" t="s">
        <v>10</v>
      </c>
      <c r="D28" t="s">
        <v>11</v>
      </c>
      <c r="E28">
        <v>13</v>
      </c>
      <c r="F28">
        <v>1624</v>
      </c>
    </row>
    <row r="29" spans="1:6" x14ac:dyDescent="0.35">
      <c r="A29" t="s">
        <v>38</v>
      </c>
      <c r="B29" s="1">
        <v>45847</v>
      </c>
      <c r="C29" t="s">
        <v>7</v>
      </c>
      <c r="D29" t="s">
        <v>11</v>
      </c>
      <c r="E29">
        <v>24</v>
      </c>
      <c r="F29">
        <v>2090</v>
      </c>
    </row>
    <row r="30" spans="1:6" x14ac:dyDescent="0.35">
      <c r="A30" t="s">
        <v>39</v>
      </c>
      <c r="B30" s="1">
        <v>45832</v>
      </c>
      <c r="C30" t="s">
        <v>25</v>
      </c>
      <c r="D30" t="s">
        <v>11</v>
      </c>
      <c r="E30">
        <v>30</v>
      </c>
      <c r="F30">
        <v>1843</v>
      </c>
    </row>
    <row r="31" spans="1:6" x14ac:dyDescent="0.35">
      <c r="A31" t="s">
        <v>40</v>
      </c>
      <c r="B31" s="1">
        <v>45708</v>
      </c>
      <c r="C31" t="s">
        <v>7</v>
      </c>
      <c r="D31" t="s">
        <v>11</v>
      </c>
      <c r="E31">
        <v>25</v>
      </c>
      <c r="F31">
        <v>1436</v>
      </c>
    </row>
    <row r="32" spans="1:6" x14ac:dyDescent="0.35">
      <c r="A32" t="s">
        <v>41</v>
      </c>
      <c r="B32" s="1">
        <v>45712</v>
      </c>
      <c r="C32" t="s">
        <v>10</v>
      </c>
      <c r="D32" t="s">
        <v>11</v>
      </c>
      <c r="E32">
        <v>12</v>
      </c>
      <c r="F32">
        <v>1492</v>
      </c>
    </row>
    <row r="33" spans="1:6" x14ac:dyDescent="0.35">
      <c r="A33" t="s">
        <v>42</v>
      </c>
      <c r="B33" s="1">
        <v>45901</v>
      </c>
      <c r="C33" t="s">
        <v>25</v>
      </c>
      <c r="D33" t="s">
        <v>11</v>
      </c>
      <c r="E33">
        <v>17</v>
      </c>
      <c r="F33">
        <v>1098</v>
      </c>
    </row>
    <row r="34" spans="1:6" x14ac:dyDescent="0.35">
      <c r="A34" t="s">
        <v>43</v>
      </c>
      <c r="B34" s="1">
        <v>45788</v>
      </c>
      <c r="C34" t="s">
        <v>7</v>
      </c>
      <c r="D34" t="s">
        <v>8</v>
      </c>
      <c r="E34">
        <v>26</v>
      </c>
      <c r="F34">
        <v>1492</v>
      </c>
    </row>
    <row r="35" spans="1:6" x14ac:dyDescent="0.35">
      <c r="A35" t="s">
        <v>44</v>
      </c>
      <c r="B35" s="1">
        <v>45792</v>
      </c>
      <c r="C35" t="s">
        <v>7</v>
      </c>
      <c r="D35" t="s">
        <v>11</v>
      </c>
      <c r="E35">
        <v>16</v>
      </c>
      <c r="F35">
        <v>1384</v>
      </c>
    </row>
    <row r="36" spans="1:6" x14ac:dyDescent="0.35">
      <c r="A36" t="s">
        <v>45</v>
      </c>
      <c r="B36" s="1">
        <v>45678</v>
      </c>
      <c r="C36" t="s">
        <v>7</v>
      </c>
      <c r="D36" t="s">
        <v>11</v>
      </c>
      <c r="E36">
        <v>22</v>
      </c>
      <c r="F36">
        <v>1629</v>
      </c>
    </row>
    <row r="37" spans="1:6" x14ac:dyDescent="0.35">
      <c r="A37" t="s">
        <v>46</v>
      </c>
      <c r="B37" s="1">
        <v>45824</v>
      </c>
      <c r="C37" t="s">
        <v>7</v>
      </c>
      <c r="D37" t="s">
        <v>11</v>
      </c>
      <c r="E37">
        <v>23</v>
      </c>
      <c r="F37">
        <v>1169</v>
      </c>
    </row>
    <row r="38" spans="1:6" x14ac:dyDescent="0.35">
      <c r="A38" t="s">
        <v>47</v>
      </c>
      <c r="B38" s="1">
        <v>45931</v>
      </c>
      <c r="C38" t="s">
        <v>10</v>
      </c>
      <c r="D38" t="s">
        <v>11</v>
      </c>
      <c r="E38">
        <v>15</v>
      </c>
      <c r="F38">
        <v>1707</v>
      </c>
    </row>
    <row r="39" spans="1:6" x14ac:dyDescent="0.35">
      <c r="A39" t="s">
        <v>48</v>
      </c>
      <c r="B39" s="1">
        <v>45746</v>
      </c>
      <c r="C39" t="s">
        <v>25</v>
      </c>
      <c r="D39" t="s">
        <v>11</v>
      </c>
      <c r="E39">
        <v>19</v>
      </c>
      <c r="F39">
        <v>2113</v>
      </c>
    </row>
    <row r="40" spans="1:6" x14ac:dyDescent="0.35">
      <c r="A40" t="s">
        <v>49</v>
      </c>
      <c r="B40" s="1">
        <v>45671</v>
      </c>
      <c r="C40" t="s">
        <v>7</v>
      </c>
      <c r="D40" t="s">
        <v>11</v>
      </c>
      <c r="E40">
        <v>5</v>
      </c>
      <c r="F40">
        <v>1456</v>
      </c>
    </row>
    <row r="41" spans="1:6" x14ac:dyDescent="0.35">
      <c r="A41" t="s">
        <v>50</v>
      </c>
      <c r="B41" s="1">
        <v>45899</v>
      </c>
      <c r="C41" t="s">
        <v>7</v>
      </c>
      <c r="D41" t="s">
        <v>11</v>
      </c>
      <c r="E41">
        <v>14</v>
      </c>
      <c r="F41">
        <v>1660</v>
      </c>
    </row>
    <row r="42" spans="1:6" x14ac:dyDescent="0.35">
      <c r="A42" t="s">
        <v>51</v>
      </c>
      <c r="B42" s="1">
        <v>45922</v>
      </c>
      <c r="C42" t="s">
        <v>7</v>
      </c>
      <c r="D42" t="s">
        <v>11</v>
      </c>
      <c r="E42">
        <v>18</v>
      </c>
      <c r="F42">
        <v>1776</v>
      </c>
    </row>
    <row r="43" spans="1:6" x14ac:dyDescent="0.35">
      <c r="A43" t="s">
        <v>52</v>
      </c>
      <c r="B43" s="1">
        <v>45710</v>
      </c>
      <c r="C43" t="s">
        <v>7</v>
      </c>
      <c r="D43" t="s">
        <v>11</v>
      </c>
      <c r="E43">
        <v>13</v>
      </c>
      <c r="F43">
        <v>1339</v>
      </c>
    </row>
    <row r="44" spans="1:6" x14ac:dyDescent="0.35">
      <c r="A44" t="s">
        <v>53</v>
      </c>
      <c r="B44" s="1">
        <v>45749</v>
      </c>
      <c r="C44" t="s">
        <v>7</v>
      </c>
      <c r="D44" t="s">
        <v>11</v>
      </c>
      <c r="E44">
        <v>28</v>
      </c>
      <c r="F44">
        <v>1589</v>
      </c>
    </row>
    <row r="45" spans="1:6" x14ac:dyDescent="0.35">
      <c r="A45" t="s">
        <v>54</v>
      </c>
      <c r="B45" s="1">
        <v>45921</v>
      </c>
      <c r="C45" t="s">
        <v>7</v>
      </c>
      <c r="D45" t="s">
        <v>11</v>
      </c>
      <c r="E45">
        <v>12</v>
      </c>
      <c r="F45">
        <v>1505</v>
      </c>
    </row>
    <row r="46" spans="1:6" x14ac:dyDescent="0.35">
      <c r="A46" t="s">
        <v>55</v>
      </c>
      <c r="B46" s="1">
        <v>45692</v>
      </c>
      <c r="C46" t="s">
        <v>25</v>
      </c>
      <c r="D46" t="s">
        <v>11</v>
      </c>
      <c r="E46">
        <v>17</v>
      </c>
      <c r="F46">
        <v>1539</v>
      </c>
    </row>
    <row r="47" spans="1:6" x14ac:dyDescent="0.35">
      <c r="A47" t="s">
        <v>56</v>
      </c>
      <c r="B47" s="1">
        <v>45863</v>
      </c>
      <c r="C47" t="s">
        <v>7</v>
      </c>
      <c r="D47" t="s">
        <v>11</v>
      </c>
      <c r="E47">
        <v>20</v>
      </c>
      <c r="F47">
        <v>1190</v>
      </c>
    </row>
    <row r="48" spans="1:6" x14ac:dyDescent="0.35">
      <c r="A48" t="s">
        <v>57</v>
      </c>
      <c r="B48" s="1">
        <v>45738</v>
      </c>
      <c r="C48" t="s">
        <v>7</v>
      </c>
      <c r="D48" t="s">
        <v>11</v>
      </c>
      <c r="E48">
        <v>27</v>
      </c>
      <c r="F48">
        <v>1509</v>
      </c>
    </row>
    <row r="49" spans="1:6" x14ac:dyDescent="0.35">
      <c r="A49" t="s">
        <v>58</v>
      </c>
      <c r="B49" s="1">
        <v>45707</v>
      </c>
      <c r="C49" t="s">
        <v>10</v>
      </c>
      <c r="D49" t="s">
        <v>8</v>
      </c>
      <c r="E49">
        <v>12</v>
      </c>
      <c r="F49">
        <v>1699</v>
      </c>
    </row>
    <row r="50" spans="1:6" x14ac:dyDescent="0.35">
      <c r="A50" t="s">
        <v>59</v>
      </c>
      <c r="B50" s="1">
        <v>45659</v>
      </c>
      <c r="C50" t="s">
        <v>7</v>
      </c>
      <c r="D50" t="s">
        <v>11</v>
      </c>
      <c r="E50">
        <v>25</v>
      </c>
      <c r="F50">
        <v>2080</v>
      </c>
    </row>
    <row r="51" spans="1:6" x14ac:dyDescent="0.35">
      <c r="A51" t="s">
        <v>60</v>
      </c>
      <c r="B51" s="1">
        <v>45711</v>
      </c>
      <c r="C51" t="s">
        <v>25</v>
      </c>
      <c r="D51" t="s">
        <v>11</v>
      </c>
      <c r="E51">
        <v>20</v>
      </c>
      <c r="F51">
        <v>1883</v>
      </c>
    </row>
    <row r="52" spans="1:6" x14ac:dyDescent="0.35">
      <c r="A52" t="s">
        <v>61</v>
      </c>
      <c r="B52" s="1">
        <v>45763</v>
      </c>
      <c r="C52" t="s">
        <v>25</v>
      </c>
      <c r="D52" t="s">
        <v>11</v>
      </c>
      <c r="E52">
        <v>15</v>
      </c>
      <c r="F52">
        <v>2361</v>
      </c>
    </row>
    <row r="53" spans="1:6" x14ac:dyDescent="0.35">
      <c r="A53" t="s">
        <v>62</v>
      </c>
      <c r="B53" s="1">
        <v>45917</v>
      </c>
      <c r="C53" t="s">
        <v>7</v>
      </c>
      <c r="D53" t="s">
        <v>11</v>
      </c>
      <c r="E53">
        <v>22</v>
      </c>
      <c r="F53">
        <v>1193</v>
      </c>
    </row>
    <row r="54" spans="1:6" x14ac:dyDescent="0.35">
      <c r="A54" t="s">
        <v>63</v>
      </c>
      <c r="B54" s="1">
        <v>45848</v>
      </c>
      <c r="C54" t="s">
        <v>7</v>
      </c>
      <c r="D54" t="s">
        <v>11</v>
      </c>
      <c r="E54">
        <v>20</v>
      </c>
      <c r="F54">
        <v>1848</v>
      </c>
    </row>
    <row r="55" spans="1:6" x14ac:dyDescent="0.35">
      <c r="A55" t="s">
        <v>64</v>
      </c>
      <c r="B55" s="1">
        <v>45875</v>
      </c>
      <c r="C55" t="s">
        <v>7</v>
      </c>
      <c r="D55" t="s">
        <v>11</v>
      </c>
      <c r="E55">
        <v>16</v>
      </c>
      <c r="F55">
        <v>1573</v>
      </c>
    </row>
    <row r="56" spans="1:6" x14ac:dyDescent="0.35">
      <c r="A56" t="s">
        <v>65</v>
      </c>
      <c r="B56" s="1">
        <v>45701</v>
      </c>
      <c r="C56" t="s">
        <v>7</v>
      </c>
      <c r="D56" t="s">
        <v>8</v>
      </c>
      <c r="E56">
        <v>20</v>
      </c>
      <c r="F56">
        <v>2375</v>
      </c>
    </row>
    <row r="57" spans="1:6" x14ac:dyDescent="0.35">
      <c r="A57" t="s">
        <v>66</v>
      </c>
      <c r="B57" s="1">
        <v>45819</v>
      </c>
      <c r="C57" t="s">
        <v>7</v>
      </c>
      <c r="D57" t="s">
        <v>11</v>
      </c>
      <c r="E57">
        <v>18</v>
      </c>
      <c r="F57">
        <v>1176</v>
      </c>
    </row>
    <row r="58" spans="1:6" x14ac:dyDescent="0.35">
      <c r="A58" t="s">
        <v>67</v>
      </c>
      <c r="B58" s="1">
        <v>45859</v>
      </c>
      <c r="C58" t="s">
        <v>10</v>
      </c>
      <c r="D58" t="s">
        <v>11</v>
      </c>
      <c r="E58">
        <v>20</v>
      </c>
      <c r="F58">
        <v>1164</v>
      </c>
    </row>
    <row r="59" spans="1:6" x14ac:dyDescent="0.35">
      <c r="A59" t="s">
        <v>68</v>
      </c>
      <c r="B59" s="1">
        <v>45927</v>
      </c>
      <c r="C59" t="s">
        <v>7</v>
      </c>
      <c r="D59" t="s">
        <v>11</v>
      </c>
      <c r="E59">
        <v>23</v>
      </c>
      <c r="F59">
        <v>1260</v>
      </c>
    </row>
    <row r="60" spans="1:6" x14ac:dyDescent="0.35">
      <c r="A60" t="s">
        <v>69</v>
      </c>
      <c r="B60" s="1">
        <v>45928</v>
      </c>
      <c r="C60" t="s">
        <v>7</v>
      </c>
      <c r="D60" t="s">
        <v>11</v>
      </c>
      <c r="E60">
        <v>27</v>
      </c>
      <c r="F60">
        <v>650</v>
      </c>
    </row>
    <row r="61" spans="1:6" x14ac:dyDescent="0.35">
      <c r="A61" t="s">
        <v>70</v>
      </c>
      <c r="B61" s="1">
        <v>45872</v>
      </c>
      <c r="C61" t="s">
        <v>7</v>
      </c>
      <c r="D61" t="s">
        <v>11</v>
      </c>
      <c r="E61">
        <v>13</v>
      </c>
      <c r="F61">
        <v>1289</v>
      </c>
    </row>
    <row r="62" spans="1:6" x14ac:dyDescent="0.35">
      <c r="A62" t="s">
        <v>71</v>
      </c>
      <c r="B62" s="1">
        <v>45909</v>
      </c>
      <c r="C62" t="s">
        <v>25</v>
      </c>
      <c r="D62" t="s">
        <v>11</v>
      </c>
      <c r="E62">
        <v>30</v>
      </c>
      <c r="F62">
        <v>1196</v>
      </c>
    </row>
    <row r="63" spans="1:6" x14ac:dyDescent="0.35">
      <c r="A63" t="s">
        <v>72</v>
      </c>
      <c r="B63" s="1">
        <v>45847</v>
      </c>
      <c r="C63" t="s">
        <v>7</v>
      </c>
      <c r="D63" t="s">
        <v>11</v>
      </c>
      <c r="E63">
        <v>10</v>
      </c>
      <c r="F63">
        <v>1560</v>
      </c>
    </row>
    <row r="64" spans="1:6" x14ac:dyDescent="0.35">
      <c r="A64" t="s">
        <v>73</v>
      </c>
      <c r="B64" s="1">
        <v>45953</v>
      </c>
      <c r="C64" t="s">
        <v>7</v>
      </c>
      <c r="D64" t="s">
        <v>11</v>
      </c>
      <c r="E64">
        <v>19</v>
      </c>
      <c r="F64">
        <v>1636</v>
      </c>
    </row>
    <row r="65" spans="1:6" x14ac:dyDescent="0.35">
      <c r="A65" t="s">
        <v>74</v>
      </c>
      <c r="B65" s="1">
        <v>45870</v>
      </c>
      <c r="C65" t="s">
        <v>7</v>
      </c>
      <c r="D65" t="s">
        <v>11</v>
      </c>
      <c r="E65">
        <v>22</v>
      </c>
      <c r="F65">
        <v>2250</v>
      </c>
    </row>
    <row r="66" spans="1:6" x14ac:dyDescent="0.35">
      <c r="A66" t="s">
        <v>75</v>
      </c>
      <c r="B66" s="1">
        <v>45865</v>
      </c>
      <c r="C66" t="s">
        <v>25</v>
      </c>
      <c r="D66" t="s">
        <v>11</v>
      </c>
      <c r="E66">
        <v>21</v>
      </c>
      <c r="F66">
        <v>1880</v>
      </c>
    </row>
    <row r="67" spans="1:6" x14ac:dyDescent="0.35">
      <c r="A67" t="s">
        <v>76</v>
      </c>
      <c r="B67" s="1">
        <v>45894</v>
      </c>
      <c r="C67" t="s">
        <v>7</v>
      </c>
      <c r="D67" t="s">
        <v>11</v>
      </c>
      <c r="E67">
        <v>16</v>
      </c>
      <c r="F67">
        <v>1269</v>
      </c>
    </row>
    <row r="68" spans="1:6" x14ac:dyDescent="0.35">
      <c r="A68" t="s">
        <v>77</v>
      </c>
      <c r="B68" s="1">
        <v>45710</v>
      </c>
      <c r="C68" t="s">
        <v>10</v>
      </c>
      <c r="D68" t="s">
        <v>11</v>
      </c>
      <c r="E68">
        <v>18</v>
      </c>
      <c r="F68">
        <v>1140</v>
      </c>
    </row>
    <row r="69" spans="1:6" x14ac:dyDescent="0.35">
      <c r="A69" t="s">
        <v>78</v>
      </c>
      <c r="B69" s="1">
        <v>45937</v>
      </c>
      <c r="C69" t="s">
        <v>10</v>
      </c>
      <c r="D69" t="s">
        <v>11</v>
      </c>
      <c r="E69">
        <v>17</v>
      </c>
      <c r="F69">
        <v>1696</v>
      </c>
    </row>
    <row r="70" spans="1:6" x14ac:dyDescent="0.35">
      <c r="A70" t="s">
        <v>79</v>
      </c>
      <c r="B70" s="1">
        <v>45874</v>
      </c>
      <c r="C70" t="s">
        <v>7</v>
      </c>
      <c r="D70" t="s">
        <v>11</v>
      </c>
      <c r="E70">
        <v>17</v>
      </c>
      <c r="F70">
        <v>971</v>
      </c>
    </row>
    <row r="71" spans="1:6" x14ac:dyDescent="0.35">
      <c r="A71" t="s">
        <v>80</v>
      </c>
      <c r="B71" s="1">
        <v>45909</v>
      </c>
      <c r="C71" t="s">
        <v>10</v>
      </c>
      <c r="D71" t="s">
        <v>8</v>
      </c>
      <c r="E71">
        <v>24</v>
      </c>
      <c r="F71">
        <v>2232</v>
      </c>
    </row>
    <row r="72" spans="1:6" x14ac:dyDescent="0.35">
      <c r="A72" t="s">
        <v>81</v>
      </c>
      <c r="B72" s="1">
        <v>45845</v>
      </c>
      <c r="C72" t="s">
        <v>7</v>
      </c>
      <c r="D72" t="s">
        <v>11</v>
      </c>
      <c r="E72">
        <v>21</v>
      </c>
      <c r="F72">
        <v>1971</v>
      </c>
    </row>
    <row r="73" spans="1:6" x14ac:dyDescent="0.35">
      <c r="A73" t="s">
        <v>82</v>
      </c>
      <c r="B73" s="1">
        <v>45698</v>
      </c>
      <c r="C73" t="s">
        <v>10</v>
      </c>
      <c r="D73" t="s">
        <v>11</v>
      </c>
      <c r="E73">
        <v>16</v>
      </c>
      <c r="F73">
        <v>1312</v>
      </c>
    </row>
    <row r="74" spans="1:6" x14ac:dyDescent="0.35">
      <c r="A74" t="s">
        <v>83</v>
      </c>
      <c r="B74" s="1">
        <v>45814</v>
      </c>
      <c r="C74" t="s">
        <v>10</v>
      </c>
      <c r="D74" t="s">
        <v>11</v>
      </c>
      <c r="E74">
        <v>24</v>
      </c>
      <c r="F74">
        <v>814</v>
      </c>
    </row>
    <row r="75" spans="1:6" x14ac:dyDescent="0.35">
      <c r="A75" t="s">
        <v>84</v>
      </c>
      <c r="B75" s="1">
        <v>45672</v>
      </c>
      <c r="C75" t="s">
        <v>7</v>
      </c>
      <c r="D75" t="s">
        <v>11</v>
      </c>
      <c r="E75">
        <v>21</v>
      </c>
      <c r="F75">
        <v>2041</v>
      </c>
    </row>
    <row r="76" spans="1:6" x14ac:dyDescent="0.35">
      <c r="A76" t="s">
        <v>85</v>
      </c>
      <c r="B76" s="1">
        <v>45722</v>
      </c>
      <c r="C76" t="s">
        <v>7</v>
      </c>
      <c r="D76" t="s">
        <v>11</v>
      </c>
      <c r="E76">
        <v>24</v>
      </c>
      <c r="F76">
        <v>1454</v>
      </c>
    </row>
    <row r="77" spans="1:6" x14ac:dyDescent="0.35">
      <c r="A77" t="s">
        <v>86</v>
      </c>
      <c r="B77" s="1">
        <v>45666</v>
      </c>
      <c r="C77" t="s">
        <v>10</v>
      </c>
      <c r="D77" t="s">
        <v>11</v>
      </c>
      <c r="E77">
        <v>23</v>
      </c>
      <c r="F77">
        <v>1995</v>
      </c>
    </row>
    <row r="78" spans="1:6" x14ac:dyDescent="0.35">
      <c r="A78" t="s">
        <v>87</v>
      </c>
      <c r="B78" s="1">
        <v>45786</v>
      </c>
      <c r="C78" t="s">
        <v>7</v>
      </c>
      <c r="D78" t="s">
        <v>11</v>
      </c>
      <c r="E78">
        <v>15</v>
      </c>
      <c r="F78">
        <v>862</v>
      </c>
    </row>
    <row r="79" spans="1:6" x14ac:dyDescent="0.35">
      <c r="A79" t="s">
        <v>88</v>
      </c>
      <c r="B79" s="1">
        <v>45793</v>
      </c>
      <c r="C79" t="s">
        <v>7</v>
      </c>
      <c r="D79" t="s">
        <v>11</v>
      </c>
      <c r="E79">
        <v>17</v>
      </c>
      <c r="F79">
        <v>1260</v>
      </c>
    </row>
    <row r="80" spans="1:6" x14ac:dyDescent="0.35">
      <c r="A80" t="s">
        <v>89</v>
      </c>
      <c r="B80" s="1">
        <v>45720</v>
      </c>
      <c r="C80" t="s">
        <v>7</v>
      </c>
      <c r="D80" t="s">
        <v>11</v>
      </c>
      <c r="E80">
        <v>23</v>
      </c>
      <c r="F80">
        <v>1502</v>
      </c>
    </row>
    <row r="81" spans="1:6" x14ac:dyDescent="0.35">
      <c r="A81" t="s">
        <v>90</v>
      </c>
      <c r="B81" s="1">
        <v>45796</v>
      </c>
      <c r="C81" t="s">
        <v>7</v>
      </c>
      <c r="D81" t="s">
        <v>11</v>
      </c>
      <c r="E81">
        <v>23</v>
      </c>
      <c r="F81">
        <v>1518</v>
      </c>
    </row>
    <row r="82" spans="1:6" x14ac:dyDescent="0.35">
      <c r="A82" t="s">
        <v>91</v>
      </c>
      <c r="B82" s="1">
        <v>45738</v>
      </c>
      <c r="C82" t="s">
        <v>10</v>
      </c>
      <c r="D82" t="s">
        <v>11</v>
      </c>
      <c r="E82">
        <v>19</v>
      </c>
      <c r="F82">
        <v>1319</v>
      </c>
    </row>
    <row r="83" spans="1:6" x14ac:dyDescent="0.35">
      <c r="A83" t="s">
        <v>92</v>
      </c>
      <c r="B83" s="1">
        <v>45820</v>
      </c>
      <c r="C83" t="s">
        <v>7</v>
      </c>
      <c r="D83" t="s">
        <v>11</v>
      </c>
      <c r="E83">
        <v>20</v>
      </c>
      <c r="F83">
        <v>1749</v>
      </c>
    </row>
    <row r="84" spans="1:6" x14ac:dyDescent="0.35">
      <c r="A84" t="s">
        <v>93</v>
      </c>
      <c r="B84" s="1">
        <v>45946</v>
      </c>
      <c r="C84" t="s">
        <v>7</v>
      </c>
      <c r="D84" t="s">
        <v>11</v>
      </c>
      <c r="E84">
        <v>26</v>
      </c>
      <c r="F84">
        <v>1072</v>
      </c>
    </row>
    <row r="85" spans="1:6" x14ac:dyDescent="0.35">
      <c r="A85" t="s">
        <v>94</v>
      </c>
      <c r="B85" s="1">
        <v>45918</v>
      </c>
      <c r="C85" t="s">
        <v>7</v>
      </c>
      <c r="D85" t="s">
        <v>11</v>
      </c>
      <c r="E85">
        <v>17</v>
      </c>
      <c r="F85">
        <v>1443</v>
      </c>
    </row>
    <row r="86" spans="1:6" x14ac:dyDescent="0.35">
      <c r="A86" t="s">
        <v>95</v>
      </c>
      <c r="B86" s="1">
        <v>45888</v>
      </c>
      <c r="C86" t="s">
        <v>10</v>
      </c>
      <c r="D86" t="s">
        <v>11</v>
      </c>
      <c r="E86">
        <v>22</v>
      </c>
      <c r="F86">
        <v>1548</v>
      </c>
    </row>
    <row r="87" spans="1:6" x14ac:dyDescent="0.35">
      <c r="A87" t="s">
        <v>96</v>
      </c>
      <c r="B87" s="1">
        <v>45698</v>
      </c>
      <c r="C87" t="s">
        <v>7</v>
      </c>
      <c r="D87" t="s">
        <v>11</v>
      </c>
      <c r="E87">
        <v>18</v>
      </c>
      <c r="F87">
        <v>1705</v>
      </c>
    </row>
    <row r="88" spans="1:6" x14ac:dyDescent="0.35">
      <c r="A88" t="s">
        <v>97</v>
      </c>
      <c r="B88" s="1">
        <v>45685</v>
      </c>
      <c r="C88" t="s">
        <v>10</v>
      </c>
      <c r="D88" t="s">
        <v>11</v>
      </c>
      <c r="E88">
        <v>18</v>
      </c>
      <c r="F88">
        <v>1784</v>
      </c>
    </row>
    <row r="89" spans="1:6" x14ac:dyDescent="0.35">
      <c r="A89" t="s">
        <v>98</v>
      </c>
      <c r="B89" s="1">
        <v>45792</v>
      </c>
      <c r="C89" t="s">
        <v>7</v>
      </c>
      <c r="D89" t="s">
        <v>11</v>
      </c>
      <c r="E89">
        <v>25</v>
      </c>
      <c r="F89">
        <v>1050</v>
      </c>
    </row>
    <row r="90" spans="1:6" x14ac:dyDescent="0.35">
      <c r="A90" t="s">
        <v>99</v>
      </c>
      <c r="B90" s="1">
        <v>45858</v>
      </c>
      <c r="C90" t="s">
        <v>25</v>
      </c>
      <c r="D90" t="s">
        <v>11</v>
      </c>
      <c r="E90">
        <v>24</v>
      </c>
      <c r="F90">
        <v>886</v>
      </c>
    </row>
    <row r="91" spans="1:6" x14ac:dyDescent="0.35">
      <c r="A91" t="s">
        <v>100</v>
      </c>
      <c r="B91" s="1">
        <v>45925</v>
      </c>
      <c r="C91" t="s">
        <v>7</v>
      </c>
      <c r="D91" t="s">
        <v>11</v>
      </c>
      <c r="E91">
        <v>24</v>
      </c>
      <c r="F91">
        <v>2011</v>
      </c>
    </row>
    <row r="92" spans="1:6" x14ac:dyDescent="0.35">
      <c r="A92" t="s">
        <v>101</v>
      </c>
      <c r="B92" s="1">
        <v>45690</v>
      </c>
      <c r="C92" t="s">
        <v>7</v>
      </c>
      <c r="D92" t="s">
        <v>11</v>
      </c>
      <c r="E92">
        <v>26</v>
      </c>
      <c r="F92">
        <v>1632</v>
      </c>
    </row>
    <row r="93" spans="1:6" x14ac:dyDescent="0.35">
      <c r="A93" t="s">
        <v>102</v>
      </c>
      <c r="B93" s="1">
        <v>45705</v>
      </c>
      <c r="C93" t="s">
        <v>7</v>
      </c>
      <c r="D93" t="s">
        <v>11</v>
      </c>
      <c r="E93">
        <v>20</v>
      </c>
      <c r="F93">
        <v>1200</v>
      </c>
    </row>
    <row r="94" spans="1:6" x14ac:dyDescent="0.35">
      <c r="A94" t="s">
        <v>103</v>
      </c>
      <c r="B94" s="1">
        <v>45719</v>
      </c>
      <c r="C94" t="s">
        <v>25</v>
      </c>
      <c r="D94" t="s">
        <v>11</v>
      </c>
      <c r="E94">
        <v>23</v>
      </c>
      <c r="F94">
        <v>2120</v>
      </c>
    </row>
    <row r="95" spans="1:6" x14ac:dyDescent="0.35">
      <c r="A95" t="s">
        <v>104</v>
      </c>
      <c r="B95" s="1">
        <v>45873</v>
      </c>
      <c r="C95" t="s">
        <v>25</v>
      </c>
      <c r="D95" t="s">
        <v>8</v>
      </c>
      <c r="E95">
        <v>18</v>
      </c>
      <c r="F95">
        <v>1546</v>
      </c>
    </row>
    <row r="96" spans="1:6" x14ac:dyDescent="0.35">
      <c r="A96" t="s">
        <v>105</v>
      </c>
      <c r="B96" s="1">
        <v>45950</v>
      </c>
      <c r="C96" t="s">
        <v>7</v>
      </c>
      <c r="D96" t="s">
        <v>11</v>
      </c>
      <c r="E96">
        <v>21</v>
      </c>
      <c r="F96">
        <v>1971</v>
      </c>
    </row>
    <row r="97" spans="1:6" x14ac:dyDescent="0.35">
      <c r="A97" t="s">
        <v>106</v>
      </c>
      <c r="B97" s="1">
        <v>45756</v>
      </c>
      <c r="C97" t="s">
        <v>10</v>
      </c>
      <c r="D97" t="s">
        <v>8</v>
      </c>
      <c r="E97">
        <v>19</v>
      </c>
      <c r="F97">
        <v>1527</v>
      </c>
    </row>
    <row r="98" spans="1:6" x14ac:dyDescent="0.35">
      <c r="A98" t="s">
        <v>107</v>
      </c>
      <c r="B98" s="1">
        <v>45829</v>
      </c>
      <c r="C98" t="s">
        <v>10</v>
      </c>
      <c r="D98" t="s">
        <v>11</v>
      </c>
      <c r="E98">
        <v>20</v>
      </c>
      <c r="F98">
        <v>2324</v>
      </c>
    </row>
    <row r="99" spans="1:6" x14ac:dyDescent="0.35">
      <c r="A99" t="s">
        <v>108</v>
      </c>
      <c r="B99" s="1">
        <v>45871</v>
      </c>
      <c r="C99" t="s">
        <v>7</v>
      </c>
      <c r="D99" t="s">
        <v>11</v>
      </c>
      <c r="E99">
        <v>22</v>
      </c>
      <c r="F99">
        <v>2202</v>
      </c>
    </row>
    <row r="100" spans="1:6" x14ac:dyDescent="0.35">
      <c r="A100" t="s">
        <v>109</v>
      </c>
      <c r="B100" s="1">
        <v>45692</v>
      </c>
      <c r="C100" t="s">
        <v>7</v>
      </c>
      <c r="D100" t="s">
        <v>11</v>
      </c>
      <c r="E100">
        <v>15</v>
      </c>
      <c r="F100">
        <v>1400</v>
      </c>
    </row>
    <row r="101" spans="1:6" x14ac:dyDescent="0.35">
      <c r="A101" t="s">
        <v>110</v>
      </c>
      <c r="B101" s="1">
        <v>45884</v>
      </c>
      <c r="C101" t="s">
        <v>7</v>
      </c>
      <c r="D101" t="s">
        <v>11</v>
      </c>
      <c r="E101">
        <v>30</v>
      </c>
      <c r="F101">
        <v>1888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FA9B1-4D45-40E6-A56D-F6491EE11795}">
  <dimension ref="A1:B9"/>
  <sheetViews>
    <sheetView workbookViewId="0">
      <selection activeCell="B9" sqref="B9"/>
    </sheetView>
  </sheetViews>
  <sheetFormatPr defaultRowHeight="14.5" x14ac:dyDescent="0.35"/>
  <cols>
    <col min="1" max="1" width="20.90625" customWidth="1"/>
  </cols>
  <sheetData>
    <row r="1" spans="1:2" ht="15" thickBot="1" x14ac:dyDescent="0.4">
      <c r="A1" s="2"/>
    </row>
    <row r="2" spans="1:2" ht="15" thickBot="1" x14ac:dyDescent="0.4">
      <c r="A2" s="3" t="s">
        <v>111</v>
      </c>
    </row>
    <row r="3" spans="1:2" ht="42.5" thickBot="1" x14ac:dyDescent="0.4">
      <c r="A3" s="3" t="s">
        <v>112</v>
      </c>
      <c r="B3">
        <f>COUNTA(Data[PatientID])</f>
        <v>100</v>
      </c>
    </row>
    <row r="4" spans="1:2" ht="42.5" thickBot="1" x14ac:dyDescent="0.4">
      <c r="A4" s="3" t="s">
        <v>113</v>
      </c>
      <c r="B4" s="4">
        <f>COUNTIF(Data[Contamination Incident], "Yes") / COUNTA(Data[PatientID])</f>
        <v>0.1</v>
      </c>
    </row>
    <row r="5" spans="1:2" ht="42.5" thickBot="1" x14ac:dyDescent="0.4">
      <c r="A5" s="3" t="s">
        <v>114</v>
      </c>
      <c r="B5">
        <f>AVERAGE(Data[Turnaround Hours])</f>
        <v>19.8</v>
      </c>
    </row>
    <row r="6" spans="1:2" ht="42.5" thickBot="1" x14ac:dyDescent="0.4">
      <c r="A6" s="3" t="s">
        <v>115</v>
      </c>
      <c r="B6">
        <f>AVERAGE(Data[Treatment Cost])</f>
        <v>1527.7</v>
      </c>
    </row>
    <row r="7" spans="1:2" ht="28.5" thickBot="1" x14ac:dyDescent="0.4">
      <c r="A7" s="3" t="s">
        <v>116</v>
      </c>
      <c r="B7">
        <f>COUNTIF(Data[Outcome], "Recovered")</f>
        <v>63</v>
      </c>
    </row>
    <row r="8" spans="1:2" ht="28.5" thickBot="1" x14ac:dyDescent="0.4">
      <c r="A8" s="3" t="s">
        <v>117</v>
      </c>
      <c r="B8">
        <f>COUNTIF(Data[Outcome], "Referred")</f>
        <v>23</v>
      </c>
    </row>
    <row r="9" spans="1:2" ht="42.5" thickBot="1" x14ac:dyDescent="0.4">
      <c r="A9" s="3" t="s">
        <v>118</v>
      </c>
      <c r="B9">
        <f>COUNTIF(Data[Outcome], "Under Treatment")</f>
        <v>14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08ED7-1BBF-49A1-AA7D-6579425F0E70}">
  <dimension ref="A2:B28"/>
  <sheetViews>
    <sheetView workbookViewId="0">
      <selection activeCell="A20" sqref="A20"/>
    </sheetView>
  </sheetViews>
  <sheetFormatPr defaultRowHeight="14.5" x14ac:dyDescent="0.35"/>
  <cols>
    <col min="1" max="1" width="15.26953125" bestFit="1" customWidth="1"/>
    <col min="2" max="2" width="16.54296875" bestFit="1" customWidth="1"/>
  </cols>
  <sheetData>
    <row r="2" spans="1:2" x14ac:dyDescent="0.35">
      <c r="A2" t="s">
        <v>132</v>
      </c>
    </row>
    <row r="3" spans="1:2" x14ac:dyDescent="0.35">
      <c r="A3" s="5" t="s">
        <v>119</v>
      </c>
      <c r="B3" t="s">
        <v>131</v>
      </c>
    </row>
    <row r="4" spans="1:2" x14ac:dyDescent="0.35">
      <c r="A4" s="6" t="s">
        <v>121</v>
      </c>
      <c r="B4" s="7">
        <v>8</v>
      </c>
    </row>
    <row r="5" spans="1:2" x14ac:dyDescent="0.35">
      <c r="A5" s="6" t="s">
        <v>122</v>
      </c>
      <c r="B5" s="7">
        <v>15</v>
      </c>
    </row>
    <row r="6" spans="1:2" x14ac:dyDescent="0.35">
      <c r="A6" s="6" t="s">
        <v>123</v>
      </c>
      <c r="B6" s="7">
        <v>8</v>
      </c>
    </row>
    <row r="7" spans="1:2" x14ac:dyDescent="0.35">
      <c r="A7" s="6" t="s">
        <v>124</v>
      </c>
      <c r="B7" s="7">
        <v>7</v>
      </c>
    </row>
    <row r="8" spans="1:2" x14ac:dyDescent="0.35">
      <c r="A8" s="6" t="s">
        <v>125</v>
      </c>
      <c r="B8" s="7">
        <v>9</v>
      </c>
    </row>
    <row r="9" spans="1:2" x14ac:dyDescent="0.35">
      <c r="A9" s="6" t="s">
        <v>126</v>
      </c>
      <c r="B9" s="7">
        <v>9</v>
      </c>
    </row>
    <row r="10" spans="1:2" x14ac:dyDescent="0.35">
      <c r="A10" s="6" t="s">
        <v>127</v>
      </c>
      <c r="B10" s="7">
        <v>11</v>
      </c>
    </row>
    <row r="11" spans="1:2" x14ac:dyDescent="0.35">
      <c r="A11" s="6" t="s">
        <v>128</v>
      </c>
      <c r="B11" s="7">
        <v>12</v>
      </c>
    </row>
    <row r="12" spans="1:2" x14ac:dyDescent="0.35">
      <c r="A12" s="6" t="s">
        <v>129</v>
      </c>
      <c r="B12" s="7">
        <v>14</v>
      </c>
    </row>
    <row r="13" spans="1:2" x14ac:dyDescent="0.35">
      <c r="A13" s="6" t="s">
        <v>130</v>
      </c>
      <c r="B13" s="7">
        <v>7</v>
      </c>
    </row>
    <row r="14" spans="1:2" x14ac:dyDescent="0.35">
      <c r="A14" s="6" t="s">
        <v>120</v>
      </c>
      <c r="B14" s="7">
        <v>100</v>
      </c>
    </row>
    <row r="18" spans="1:2" x14ac:dyDescent="0.35">
      <c r="A18" s="5" t="s">
        <v>119</v>
      </c>
      <c r="B18" t="s">
        <v>131</v>
      </c>
    </row>
    <row r="19" spans="1:2" x14ac:dyDescent="0.35">
      <c r="A19" s="6" t="s">
        <v>7</v>
      </c>
      <c r="B19" s="7">
        <v>5</v>
      </c>
    </row>
    <row r="20" spans="1:2" x14ac:dyDescent="0.35">
      <c r="A20" s="6" t="s">
        <v>10</v>
      </c>
      <c r="B20" s="7">
        <v>1</v>
      </c>
    </row>
    <row r="21" spans="1:2" x14ac:dyDescent="0.35">
      <c r="A21" s="6" t="s">
        <v>25</v>
      </c>
      <c r="B21" s="7">
        <v>2</v>
      </c>
    </row>
    <row r="22" spans="1:2" x14ac:dyDescent="0.35">
      <c r="A22" s="6" t="s">
        <v>120</v>
      </c>
      <c r="B22" s="7">
        <v>8</v>
      </c>
    </row>
    <row r="25" spans="1:2" x14ac:dyDescent="0.35">
      <c r="A25" s="5" t="s">
        <v>119</v>
      </c>
      <c r="B25" t="s">
        <v>131</v>
      </c>
    </row>
    <row r="26" spans="1:2" x14ac:dyDescent="0.35">
      <c r="A26" s="6" t="s">
        <v>11</v>
      </c>
      <c r="B26" s="7">
        <v>90</v>
      </c>
    </row>
    <row r="27" spans="1:2" x14ac:dyDescent="0.35">
      <c r="A27" s="6" t="s">
        <v>8</v>
      </c>
      <c r="B27" s="7">
        <v>10</v>
      </c>
    </row>
    <row r="28" spans="1:2" x14ac:dyDescent="0.35">
      <c r="A28" s="6" t="s">
        <v>120</v>
      </c>
      <c r="B28" s="7">
        <v>100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6ED1E-0D4F-40D7-B45C-1AA61C52D48F}">
  <dimension ref="A1:BF328"/>
  <sheetViews>
    <sheetView tabSelected="1" zoomScale="71" zoomScaleNormal="71" workbookViewId="0">
      <selection activeCell="A4" sqref="A4"/>
    </sheetView>
  </sheetViews>
  <sheetFormatPr defaultRowHeight="14.5" x14ac:dyDescent="0.35"/>
  <cols>
    <col min="1" max="1" width="29.36328125" customWidth="1"/>
    <col min="2" max="2" width="10.26953125" customWidth="1"/>
  </cols>
  <sheetData>
    <row r="1" spans="1:58" ht="32" x14ac:dyDescent="0.7">
      <c r="A1" s="8" t="s">
        <v>135</v>
      </c>
      <c r="B1" s="8"/>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row>
    <row r="2" spans="1:58" x14ac:dyDescent="0.35">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row>
    <row r="3" spans="1:58" ht="16" x14ac:dyDescent="0.35">
      <c r="A3" s="10" t="s">
        <v>133</v>
      </c>
      <c r="B3" s="11" t="s">
        <v>134</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row>
    <row r="4" spans="1:58" ht="16" x14ac:dyDescent="0.35">
      <c r="A4" s="10" t="s">
        <v>112</v>
      </c>
      <c r="B4" s="11">
        <f>'Analysis '!B3</f>
        <v>100</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row>
    <row r="5" spans="1:58" x14ac:dyDescent="0.35">
      <c r="A5" s="12"/>
      <c r="B5" s="11"/>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row>
    <row r="6" spans="1:58" ht="16" x14ac:dyDescent="0.35">
      <c r="A6" s="10" t="s">
        <v>113</v>
      </c>
      <c r="B6" s="13">
        <f>'Analysis '!B4</f>
        <v>0.1</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row>
    <row r="7" spans="1:58" x14ac:dyDescent="0.35">
      <c r="A7" s="12"/>
      <c r="B7" s="11"/>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row>
    <row r="8" spans="1:58" ht="16" x14ac:dyDescent="0.35">
      <c r="A8" s="10" t="s">
        <v>114</v>
      </c>
      <c r="B8" s="11">
        <f>'Analysis '!B5</f>
        <v>19.8</v>
      </c>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row>
    <row r="9" spans="1:58" x14ac:dyDescent="0.35">
      <c r="A9" s="12"/>
      <c r="B9" s="11"/>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row>
    <row r="10" spans="1:58" ht="16" x14ac:dyDescent="0.35">
      <c r="A10" s="10" t="s">
        <v>115</v>
      </c>
      <c r="B10" s="11">
        <f>'Analysis '!B6</f>
        <v>1527.7</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row>
    <row r="11" spans="1:58" x14ac:dyDescent="0.35">
      <c r="A11" s="12"/>
      <c r="B11" s="1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row>
    <row r="12" spans="1:58" ht="16" x14ac:dyDescent="0.35">
      <c r="A12" s="10" t="s">
        <v>116</v>
      </c>
      <c r="B12" s="11">
        <f>'Analysis '!B7</f>
        <v>63</v>
      </c>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row>
    <row r="13" spans="1:58" x14ac:dyDescent="0.35">
      <c r="A13" s="12"/>
      <c r="B13" s="11"/>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row>
    <row r="14" spans="1:58" ht="16" x14ac:dyDescent="0.35">
      <c r="A14" s="10" t="s">
        <v>117</v>
      </c>
      <c r="B14" s="11">
        <f>'Analysis '!B8</f>
        <v>23</v>
      </c>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row>
    <row r="15" spans="1:58" x14ac:dyDescent="0.35">
      <c r="A15" s="12"/>
      <c r="B15" s="11"/>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row>
    <row r="16" spans="1:58" ht="16" x14ac:dyDescent="0.35">
      <c r="A16" s="10" t="s">
        <v>118</v>
      </c>
      <c r="B16" s="11">
        <f>'Analysis '!B9</f>
        <v>14</v>
      </c>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row>
    <row r="17" spans="1:58" x14ac:dyDescent="0.3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row>
    <row r="18" spans="1:58" x14ac:dyDescent="0.3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row>
    <row r="19" spans="1:58" x14ac:dyDescent="0.3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row>
    <row r="20" spans="1:58" x14ac:dyDescent="0.3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row>
    <row r="21" spans="1:58" x14ac:dyDescent="0.3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row>
    <row r="22" spans="1:58" x14ac:dyDescent="0.3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row>
    <row r="23" spans="1:58" x14ac:dyDescent="0.3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row>
    <row r="24" spans="1:58" x14ac:dyDescent="0.3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row>
    <row r="25" spans="1:58" x14ac:dyDescent="0.3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row>
    <row r="26" spans="1:58" x14ac:dyDescent="0.3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row>
    <row r="27" spans="1:58" x14ac:dyDescent="0.3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row>
    <row r="28" spans="1:58" x14ac:dyDescent="0.3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row>
    <row r="29" spans="1:58" x14ac:dyDescent="0.3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row>
    <row r="30" spans="1:58" x14ac:dyDescent="0.3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row>
    <row r="31" spans="1:58" x14ac:dyDescent="0.3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row>
    <row r="32" spans="1:58" x14ac:dyDescent="0.3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row>
    <row r="33" spans="1:58" x14ac:dyDescent="0.3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row>
    <row r="34" spans="1:58" x14ac:dyDescent="0.3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row>
    <row r="35" spans="1:58" x14ac:dyDescent="0.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row>
    <row r="36" spans="1:58" x14ac:dyDescent="0.3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row>
    <row r="37" spans="1:58" x14ac:dyDescent="0.3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row>
    <row r="38" spans="1:58" x14ac:dyDescent="0.3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row>
    <row r="39" spans="1:58" x14ac:dyDescent="0.3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row>
    <row r="40" spans="1:58" x14ac:dyDescent="0.3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row>
    <row r="41" spans="1:58" x14ac:dyDescent="0.3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row>
    <row r="42" spans="1:58" x14ac:dyDescent="0.3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row>
    <row r="43" spans="1:58" x14ac:dyDescent="0.3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row>
    <row r="44" spans="1:58" x14ac:dyDescent="0.3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row>
    <row r="45" spans="1:58" x14ac:dyDescent="0.3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row>
    <row r="46" spans="1:58" x14ac:dyDescent="0.3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row>
    <row r="47" spans="1:58" x14ac:dyDescent="0.3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row>
    <row r="48" spans="1:58" x14ac:dyDescent="0.3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row>
    <row r="49" spans="1:58" x14ac:dyDescent="0.3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row>
    <row r="50" spans="1:58" x14ac:dyDescent="0.3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row>
    <row r="51" spans="1:58" x14ac:dyDescent="0.3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row>
    <row r="52" spans="1:58" x14ac:dyDescent="0.3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row>
    <row r="53" spans="1:58" x14ac:dyDescent="0.3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row>
    <row r="54" spans="1:58" x14ac:dyDescent="0.3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row>
    <row r="55" spans="1:58" x14ac:dyDescent="0.3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row>
    <row r="56" spans="1:58" x14ac:dyDescent="0.3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row>
    <row r="57" spans="1:58" x14ac:dyDescent="0.3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row>
    <row r="58" spans="1:58" x14ac:dyDescent="0.3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row>
    <row r="59" spans="1:58" x14ac:dyDescent="0.3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row>
    <row r="60" spans="1:58" x14ac:dyDescent="0.3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row>
    <row r="61" spans="1:58" x14ac:dyDescent="0.35">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row>
    <row r="62" spans="1:58" x14ac:dyDescent="0.3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row>
    <row r="63" spans="1:58" x14ac:dyDescent="0.3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row>
    <row r="64" spans="1:58" x14ac:dyDescent="0.3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row>
    <row r="65" spans="1:58" x14ac:dyDescent="0.3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row>
    <row r="66" spans="1:58" x14ac:dyDescent="0.3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row>
    <row r="67" spans="1:58" x14ac:dyDescent="0.3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row>
    <row r="68" spans="1:58" x14ac:dyDescent="0.3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row>
    <row r="69" spans="1:58" x14ac:dyDescent="0.3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row>
    <row r="70" spans="1:58" x14ac:dyDescent="0.3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row>
    <row r="71" spans="1:58" x14ac:dyDescent="0.3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row>
    <row r="72" spans="1:58" x14ac:dyDescent="0.3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row>
    <row r="73" spans="1:58" x14ac:dyDescent="0.3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row>
    <row r="74" spans="1:58" x14ac:dyDescent="0.3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row>
    <row r="75" spans="1:58" x14ac:dyDescent="0.3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row>
    <row r="76" spans="1:58" x14ac:dyDescent="0.3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row>
    <row r="77" spans="1:58" x14ac:dyDescent="0.3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row>
    <row r="78" spans="1:58" x14ac:dyDescent="0.3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row>
    <row r="79" spans="1:58" x14ac:dyDescent="0.3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row>
    <row r="80" spans="1:58" x14ac:dyDescent="0.35">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row>
    <row r="81" spans="1:58" x14ac:dyDescent="0.35">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row>
    <row r="82" spans="1:58" x14ac:dyDescent="0.35">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row>
    <row r="83" spans="1:58" x14ac:dyDescent="0.35">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row>
    <row r="84" spans="1:58" x14ac:dyDescent="0.35">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row>
    <row r="85" spans="1:58" x14ac:dyDescent="0.3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row>
    <row r="86" spans="1:58" x14ac:dyDescent="0.35">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row>
    <row r="87" spans="1:58" x14ac:dyDescent="0.35">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row>
    <row r="88" spans="1:58" x14ac:dyDescent="0.35">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row>
    <row r="89" spans="1:58" x14ac:dyDescent="0.35">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row>
    <row r="90" spans="1:58" x14ac:dyDescent="0.35">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row>
    <row r="91" spans="1:58" x14ac:dyDescent="0.35">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row>
    <row r="92" spans="1:58" x14ac:dyDescent="0.35">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row>
    <row r="93" spans="1:58" x14ac:dyDescent="0.35">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row>
    <row r="94" spans="1:58" x14ac:dyDescent="0.35">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row>
    <row r="95" spans="1:58" x14ac:dyDescent="0.3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row>
    <row r="96" spans="1:58" x14ac:dyDescent="0.35">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row>
    <row r="97" spans="1:58" x14ac:dyDescent="0.35">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row>
    <row r="98" spans="1:58" x14ac:dyDescent="0.3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row>
    <row r="99" spans="1:58" x14ac:dyDescent="0.35">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row>
    <row r="100" spans="1:58" x14ac:dyDescent="0.3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row>
    <row r="101" spans="1:58" x14ac:dyDescent="0.3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row>
    <row r="102" spans="1:58" x14ac:dyDescent="0.3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row>
    <row r="103" spans="1:58" x14ac:dyDescent="0.3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row>
    <row r="104" spans="1:58" x14ac:dyDescent="0.3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row>
    <row r="105" spans="1:58" x14ac:dyDescent="0.3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row>
    <row r="106" spans="1:58" x14ac:dyDescent="0.3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row>
    <row r="107" spans="1:58" x14ac:dyDescent="0.3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row>
    <row r="108" spans="1:58" x14ac:dyDescent="0.3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row>
    <row r="109" spans="1:58" x14ac:dyDescent="0.3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row>
    <row r="110" spans="1:58" x14ac:dyDescent="0.3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row>
    <row r="111" spans="1:58" x14ac:dyDescent="0.3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row>
    <row r="112" spans="1:58" x14ac:dyDescent="0.3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row>
    <row r="113" spans="1:58" x14ac:dyDescent="0.3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row>
    <row r="114" spans="1:58" x14ac:dyDescent="0.3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row>
    <row r="115" spans="1:58" x14ac:dyDescent="0.3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row>
    <row r="116" spans="1:58" x14ac:dyDescent="0.3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row>
    <row r="117" spans="1:58" x14ac:dyDescent="0.3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row>
    <row r="118" spans="1:58" x14ac:dyDescent="0.3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row>
    <row r="119" spans="1:58" x14ac:dyDescent="0.3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row>
    <row r="120" spans="1:58" x14ac:dyDescent="0.3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row>
    <row r="121" spans="1:58" x14ac:dyDescent="0.3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row>
    <row r="122" spans="1:58" x14ac:dyDescent="0.3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row>
    <row r="123" spans="1:58" x14ac:dyDescent="0.3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row>
    <row r="124" spans="1:58" x14ac:dyDescent="0.3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row>
    <row r="125" spans="1:58" x14ac:dyDescent="0.3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row>
    <row r="126" spans="1:58" x14ac:dyDescent="0.3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row>
    <row r="127" spans="1:58" x14ac:dyDescent="0.3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row>
    <row r="128" spans="1:58" x14ac:dyDescent="0.3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row>
    <row r="129" spans="1:58" x14ac:dyDescent="0.3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row>
    <row r="130" spans="1:58" x14ac:dyDescent="0.3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row>
    <row r="131" spans="1:58" x14ac:dyDescent="0.3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row>
    <row r="132" spans="1:58" x14ac:dyDescent="0.3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row>
    <row r="133" spans="1:58" x14ac:dyDescent="0.3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row>
    <row r="134" spans="1:58" x14ac:dyDescent="0.3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row>
    <row r="135" spans="1:58" x14ac:dyDescent="0.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row>
    <row r="136" spans="1:58" x14ac:dyDescent="0.3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row>
    <row r="137" spans="1:58" x14ac:dyDescent="0.3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row>
    <row r="138" spans="1:58" x14ac:dyDescent="0.3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row>
    <row r="139" spans="1:58" x14ac:dyDescent="0.3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row>
    <row r="140" spans="1:58" x14ac:dyDescent="0.3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row>
    <row r="141" spans="1:58" x14ac:dyDescent="0.3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row>
    <row r="142" spans="1:58" x14ac:dyDescent="0.3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row>
    <row r="143" spans="1:58" x14ac:dyDescent="0.3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row>
    <row r="144" spans="1:58" x14ac:dyDescent="0.3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row>
    <row r="145" spans="1:58" x14ac:dyDescent="0.3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row>
    <row r="146" spans="1:58" x14ac:dyDescent="0.3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row>
    <row r="147" spans="1:58" x14ac:dyDescent="0.3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row>
    <row r="148" spans="1:58" x14ac:dyDescent="0.3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row>
    <row r="149" spans="1:58" x14ac:dyDescent="0.3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row>
    <row r="150" spans="1:58" x14ac:dyDescent="0.3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row>
    <row r="151" spans="1:58" x14ac:dyDescent="0.3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row>
    <row r="152" spans="1:58" x14ac:dyDescent="0.3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row>
    <row r="153" spans="1:58" x14ac:dyDescent="0.3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row>
    <row r="154" spans="1:58" x14ac:dyDescent="0.3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row>
    <row r="155" spans="1:58" x14ac:dyDescent="0.3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row>
    <row r="156" spans="1:58" x14ac:dyDescent="0.3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row>
    <row r="157" spans="1:58" x14ac:dyDescent="0.3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row>
    <row r="158" spans="1:58" x14ac:dyDescent="0.3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row>
    <row r="159" spans="1:58" x14ac:dyDescent="0.3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row>
    <row r="160" spans="1:58" x14ac:dyDescent="0.3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row>
    <row r="161" spans="1:58" x14ac:dyDescent="0.3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row>
    <row r="162" spans="1:58" x14ac:dyDescent="0.3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row>
    <row r="163" spans="1:58" x14ac:dyDescent="0.3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row>
    <row r="164" spans="1:58" x14ac:dyDescent="0.3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row>
    <row r="165" spans="1:58" x14ac:dyDescent="0.3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row>
    <row r="166" spans="1:58" x14ac:dyDescent="0.3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row>
    <row r="167" spans="1:58" x14ac:dyDescent="0.3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row>
    <row r="168" spans="1:58" x14ac:dyDescent="0.3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row>
    <row r="169" spans="1:58" x14ac:dyDescent="0.3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row>
    <row r="170" spans="1:58" x14ac:dyDescent="0.3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row>
    <row r="171" spans="1:58" x14ac:dyDescent="0.3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row>
    <row r="172" spans="1:58" x14ac:dyDescent="0.3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row>
    <row r="173" spans="1:58" x14ac:dyDescent="0.3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row>
    <row r="174" spans="1:58" x14ac:dyDescent="0.3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row>
    <row r="175" spans="1:58" x14ac:dyDescent="0.3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row>
    <row r="176" spans="1:58" x14ac:dyDescent="0.3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row>
    <row r="177" spans="1:58" x14ac:dyDescent="0.3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row>
    <row r="178" spans="1:58" x14ac:dyDescent="0.3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row>
    <row r="179" spans="1:58" x14ac:dyDescent="0.3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row>
    <row r="180" spans="1:58" x14ac:dyDescent="0.3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row>
    <row r="181" spans="1:58" x14ac:dyDescent="0.3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row>
    <row r="182" spans="1:58" x14ac:dyDescent="0.3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row>
    <row r="183" spans="1:58" x14ac:dyDescent="0.3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row>
    <row r="184" spans="1:58" x14ac:dyDescent="0.3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row>
    <row r="185" spans="1:58" x14ac:dyDescent="0.3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row>
    <row r="186" spans="1:58" x14ac:dyDescent="0.3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row>
    <row r="187" spans="1:58" x14ac:dyDescent="0.3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row>
    <row r="188" spans="1:58" x14ac:dyDescent="0.3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row>
    <row r="189" spans="1:58" x14ac:dyDescent="0.3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row>
    <row r="190" spans="1:58" x14ac:dyDescent="0.3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row>
    <row r="191" spans="1:58" x14ac:dyDescent="0.3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row>
    <row r="192" spans="1:58" x14ac:dyDescent="0.3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row>
    <row r="193" spans="1:58" x14ac:dyDescent="0.3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row>
    <row r="194" spans="1:58" x14ac:dyDescent="0.3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row>
    <row r="195" spans="1:58" x14ac:dyDescent="0.3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row>
    <row r="196" spans="1:58" x14ac:dyDescent="0.3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row>
    <row r="197" spans="1:58" x14ac:dyDescent="0.3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row>
    <row r="198" spans="1:58" x14ac:dyDescent="0.3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row>
    <row r="199" spans="1:58" x14ac:dyDescent="0.3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row>
    <row r="200" spans="1:58" x14ac:dyDescent="0.3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row>
    <row r="201" spans="1:58" x14ac:dyDescent="0.3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row>
    <row r="202" spans="1:58" x14ac:dyDescent="0.3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row>
    <row r="203" spans="1:58" x14ac:dyDescent="0.3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row>
    <row r="204" spans="1:58" x14ac:dyDescent="0.3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row>
    <row r="205" spans="1:58" x14ac:dyDescent="0.3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row>
    <row r="206" spans="1:58" x14ac:dyDescent="0.3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row>
    <row r="207" spans="1:58" x14ac:dyDescent="0.3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row>
    <row r="208" spans="1:58" x14ac:dyDescent="0.3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row>
    <row r="209" spans="1:58" x14ac:dyDescent="0.3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row>
    <row r="210" spans="1:58" x14ac:dyDescent="0.3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row>
    <row r="211" spans="1:58" x14ac:dyDescent="0.3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row>
    <row r="212" spans="1:58" x14ac:dyDescent="0.3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row>
    <row r="213" spans="1:58" x14ac:dyDescent="0.3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row>
    <row r="214" spans="1:58" x14ac:dyDescent="0.3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row>
    <row r="215" spans="1:58" x14ac:dyDescent="0.3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row>
    <row r="216" spans="1:58" x14ac:dyDescent="0.3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row>
    <row r="217" spans="1:58" x14ac:dyDescent="0.3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row>
    <row r="218" spans="1:58" x14ac:dyDescent="0.3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row>
    <row r="219" spans="1:58" x14ac:dyDescent="0.3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row>
    <row r="220" spans="1:58" x14ac:dyDescent="0.3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row>
    <row r="221" spans="1:58" x14ac:dyDescent="0.3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row>
    <row r="222" spans="1:58" x14ac:dyDescent="0.3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row>
    <row r="223" spans="1:58" x14ac:dyDescent="0.3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row>
    <row r="224" spans="1:58" x14ac:dyDescent="0.3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row>
    <row r="225" spans="1:58" x14ac:dyDescent="0.3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row>
    <row r="226" spans="1:58" x14ac:dyDescent="0.3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row>
    <row r="227" spans="1:58" x14ac:dyDescent="0.3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row>
    <row r="228" spans="1:58" x14ac:dyDescent="0.3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row>
    <row r="229" spans="1:58" x14ac:dyDescent="0.3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row>
    <row r="230" spans="1:58" x14ac:dyDescent="0.3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row>
    <row r="231" spans="1:58" x14ac:dyDescent="0.3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row>
    <row r="232" spans="1:58" x14ac:dyDescent="0.3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row>
    <row r="233" spans="1:58" x14ac:dyDescent="0.3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row>
    <row r="234" spans="1:58" x14ac:dyDescent="0.3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row>
    <row r="235" spans="1:58" x14ac:dyDescent="0.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row>
    <row r="236" spans="1:58" x14ac:dyDescent="0.3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row>
    <row r="237" spans="1:58" x14ac:dyDescent="0.3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row>
    <row r="238" spans="1:58" x14ac:dyDescent="0.3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row>
    <row r="239" spans="1:58" x14ac:dyDescent="0.3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row>
    <row r="240" spans="1:58" x14ac:dyDescent="0.3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row>
    <row r="241" spans="1:58" x14ac:dyDescent="0.3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row>
    <row r="242" spans="1:58" x14ac:dyDescent="0.3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row>
    <row r="243" spans="1:58" x14ac:dyDescent="0.3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row>
    <row r="244" spans="1:58" x14ac:dyDescent="0.3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row>
    <row r="245" spans="1:58" x14ac:dyDescent="0.3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row>
    <row r="246" spans="1:58" x14ac:dyDescent="0.3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row>
    <row r="247" spans="1:58" x14ac:dyDescent="0.3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row>
    <row r="248" spans="1:58" x14ac:dyDescent="0.3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row>
    <row r="249" spans="1:58" x14ac:dyDescent="0.3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row>
    <row r="250" spans="1:58" x14ac:dyDescent="0.3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row>
    <row r="251" spans="1:58" x14ac:dyDescent="0.3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row>
    <row r="252" spans="1:58" x14ac:dyDescent="0.3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row>
    <row r="253" spans="1:58" x14ac:dyDescent="0.3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row>
    <row r="254" spans="1:58" x14ac:dyDescent="0.3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row>
    <row r="255" spans="1:58" x14ac:dyDescent="0.3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row>
    <row r="256" spans="1:58" x14ac:dyDescent="0.3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row>
    <row r="257" spans="1:58" x14ac:dyDescent="0.3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row>
    <row r="258" spans="1:58" x14ac:dyDescent="0.3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row>
    <row r="259" spans="1:58" x14ac:dyDescent="0.3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row>
    <row r="260" spans="1:58" x14ac:dyDescent="0.3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row>
    <row r="261" spans="1:58" x14ac:dyDescent="0.3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row>
    <row r="262" spans="1:58" x14ac:dyDescent="0.3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row>
    <row r="263" spans="1:58" x14ac:dyDescent="0.3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row>
    <row r="264" spans="1:58" x14ac:dyDescent="0.3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row>
    <row r="265" spans="1:58" x14ac:dyDescent="0.3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row>
    <row r="266" spans="1:58" x14ac:dyDescent="0.3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row>
    <row r="267" spans="1:58" x14ac:dyDescent="0.3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row>
    <row r="268" spans="1:58" x14ac:dyDescent="0.3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row>
    <row r="269" spans="1:58" x14ac:dyDescent="0.3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row>
    <row r="270" spans="1:58" x14ac:dyDescent="0.3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row>
    <row r="271" spans="1:58" x14ac:dyDescent="0.3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row>
    <row r="272" spans="1:58" x14ac:dyDescent="0.3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row>
    <row r="273" spans="1:58" x14ac:dyDescent="0.3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row>
    <row r="274" spans="1:58" x14ac:dyDescent="0.3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row>
    <row r="275" spans="1:58" x14ac:dyDescent="0.3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row>
    <row r="276" spans="1:58" x14ac:dyDescent="0.3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row>
    <row r="277" spans="1:58" x14ac:dyDescent="0.3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row>
    <row r="278" spans="1:58" x14ac:dyDescent="0.3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row>
    <row r="279" spans="1:58" x14ac:dyDescent="0.3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row>
    <row r="280" spans="1:58" x14ac:dyDescent="0.3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row>
    <row r="281" spans="1:58" x14ac:dyDescent="0.3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row>
    <row r="282" spans="1:58" x14ac:dyDescent="0.3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row>
    <row r="283" spans="1:58" x14ac:dyDescent="0.3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row>
    <row r="284" spans="1:58" x14ac:dyDescent="0.3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row>
    <row r="285" spans="1:58" x14ac:dyDescent="0.3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row>
    <row r="286" spans="1:58" x14ac:dyDescent="0.3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row>
    <row r="287" spans="1:58" x14ac:dyDescent="0.3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row>
    <row r="288" spans="1:58" x14ac:dyDescent="0.3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row>
    <row r="289" spans="1:58" x14ac:dyDescent="0.3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row>
    <row r="290" spans="1:58" x14ac:dyDescent="0.3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row>
    <row r="291" spans="1:58" x14ac:dyDescent="0.3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row>
    <row r="292" spans="1:58" x14ac:dyDescent="0.3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row>
    <row r="293" spans="1:58" x14ac:dyDescent="0.3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row>
    <row r="294" spans="1:58" x14ac:dyDescent="0.3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row>
    <row r="295" spans="1:58" x14ac:dyDescent="0.3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row>
    <row r="296" spans="1:58" x14ac:dyDescent="0.3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row>
    <row r="297" spans="1:58" x14ac:dyDescent="0.3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row>
    <row r="298" spans="1:58" x14ac:dyDescent="0.3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row>
    <row r="299" spans="1:58" x14ac:dyDescent="0.3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row>
    <row r="300" spans="1:58" x14ac:dyDescent="0.3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row>
    <row r="301" spans="1:58" x14ac:dyDescent="0.3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row>
    <row r="302" spans="1:58" x14ac:dyDescent="0.3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row>
    <row r="303" spans="1:58" x14ac:dyDescent="0.3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row>
    <row r="304" spans="1:58" x14ac:dyDescent="0.3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row>
    <row r="305" spans="1:58" x14ac:dyDescent="0.3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row>
    <row r="306" spans="1:58" x14ac:dyDescent="0.3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row>
    <row r="307" spans="1:58" x14ac:dyDescent="0.3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row>
    <row r="308" spans="1:58" x14ac:dyDescent="0.3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row>
    <row r="309" spans="1:58" x14ac:dyDescent="0.3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row>
    <row r="310" spans="1:58" x14ac:dyDescent="0.3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row>
    <row r="311" spans="1:58" x14ac:dyDescent="0.3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row>
    <row r="312" spans="1:58" x14ac:dyDescent="0.3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row>
    <row r="313" spans="1:58" x14ac:dyDescent="0.3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row>
    <row r="314" spans="1:58" x14ac:dyDescent="0.3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row>
    <row r="315" spans="1:58" x14ac:dyDescent="0.3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row>
    <row r="316" spans="1:58" x14ac:dyDescent="0.3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row>
    <row r="317" spans="1:58" x14ac:dyDescent="0.3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row>
    <row r="318" spans="1:58" x14ac:dyDescent="0.3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row>
    <row r="319" spans="1:58" x14ac:dyDescent="0.3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row>
    <row r="320" spans="1:58" x14ac:dyDescent="0.3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row>
    <row r="321" spans="1:58" x14ac:dyDescent="0.3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row>
    <row r="322" spans="1:58" x14ac:dyDescent="0.3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row>
    <row r="323" spans="1:58" x14ac:dyDescent="0.3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row>
    <row r="324" spans="1:58" x14ac:dyDescent="0.3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row>
    <row r="325" spans="1:58" x14ac:dyDescent="0.3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row>
    <row r="326" spans="1:58" x14ac:dyDescent="0.3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row>
    <row r="327" spans="1:58" x14ac:dyDescent="0.3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row>
    <row r="328" spans="1:58" x14ac:dyDescent="0.3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sample_life_science_data</vt:lpstr>
      <vt:lpstr>Analysis </vt:lpstr>
      <vt:lpstr>PivotSummary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47ika</dc:creator>
  <cp:lastModifiedBy>47ikanishk@gmail.com</cp:lastModifiedBy>
  <dcterms:created xsi:type="dcterms:W3CDTF">2025-11-16T07:47:11Z</dcterms:created>
  <dcterms:modified xsi:type="dcterms:W3CDTF">2025-11-16T08:53:46Z</dcterms:modified>
</cp:coreProperties>
</file>